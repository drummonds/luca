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ccounts\MGT-ACCTS\2016-03\"/>
    </mc:Choice>
  </mc:AlternateContent>
  <bookViews>
    <workbookView xWindow="135" yWindow="15" windowWidth="22095" windowHeight="11250" tabRatio="820" firstSheet="4" activeTab="11"/>
  </bookViews>
  <sheets>
    <sheet name="RPT-CTRL" sheetId="24" r:id="rId1"/>
    <sheet name="TB Data 14-15" sheetId="29" r:id="rId2"/>
    <sheet name="TB Data 15-16" sheetId="27" r:id="rId3"/>
    <sheet name="TB Data 16-17" sheetId="32" r:id="rId4"/>
    <sheet name="TB Data Special" sheetId="28" r:id="rId5"/>
    <sheet name="TB Data" sheetId="3" r:id="rId6"/>
    <sheet name="TX-MIS" sheetId="25" r:id="rId7"/>
    <sheet name="TB Period" sheetId="26" r:id="rId8"/>
    <sheet name="MTD" sheetId="1" r:id="rId9"/>
    <sheet name="RPT MGT PnL" sheetId="6" r:id="rId10"/>
    <sheet name="MTD fut" sheetId="30" r:id="rId11"/>
    <sheet name="BS" sheetId="12" r:id="rId12"/>
    <sheet name="RPT MGT BS" sheetId="17" r:id="rId13"/>
    <sheet name="BS Fut" sheetId="31" r:id="rId14"/>
  </sheets>
  <externalReferences>
    <externalReference r:id="rId15"/>
  </externalReferences>
  <definedNames>
    <definedName name="BS_History">BS!$C$5:$X$27</definedName>
    <definedName name="BS_OM">'RPT-CTRL'!$B$45</definedName>
    <definedName name="BS_OM_COL">'RPT-CTRL'!$B$46</definedName>
    <definedName name="BS_PM">'RPT-CTRL'!$B$43</definedName>
    <definedName name="BS_PM_COL">'RPT-CTRL'!$B$44</definedName>
    <definedName name="BS_PY">'RPT-CTRL'!$B$41</definedName>
    <definedName name="BS_PY_COL">'RPT-CTRL'!$B$42</definedName>
    <definedName name="MTD">MTD!$K$7:$BC$47</definedName>
    <definedName name="OpeningPeriodName">'RPT-CTRL'!$B$28</definedName>
    <definedName name="OpeningTBType">'RPT-CTRL'!$C$7</definedName>
    <definedName name="PLTD_MTD">'RPT-CTRL'!$B$25</definedName>
    <definedName name="PLTD_OMYTD">'RPT-CTRL'!$B$31</definedName>
    <definedName name="PLTD_PYPMTD">'RPT-CTRL'!$B$19</definedName>
    <definedName name="PLTD_PYTD">'RPT-CTRL'!$B$17</definedName>
    <definedName name="PLTD_PYYTD">'RPT-CTRL'!$B$21</definedName>
    <definedName name="PLTD_YTD">'RPT-CTRL'!$B$23</definedName>
    <definedName name="PnL_Opening" comment="Profit and Loss for Opening Balance if and End of Year figure.  This is then the prior years P&amp;L and needs to be added to the P&amp;L brought forward.">'TB Period'!$AL$36</definedName>
    <definedName name="PnL_OTD">'TB Period'!$AL$31</definedName>
    <definedName name="PnL_TD">'RPT MGT PnL'!$F$63</definedName>
    <definedName name="PnLOpeningToDate">'RPT MGT PnL'!$J$63</definedName>
    <definedName name="Prev_Month_Table">'RPT-CTRL'!$I$3:$K$14</definedName>
    <definedName name="PrevYear">'RPT-CTRL'!$B$34</definedName>
    <definedName name="PrevYTDCol">'RPT-CTRL'!$E$8</definedName>
    <definedName name="_xlnm.Print_Area" localSheetId="12">'RPT MGT BS'!$A$8:$G$74</definedName>
    <definedName name="_xlnm.Print_Area" localSheetId="9">'RPT MGT PnL'!$A$7:$G$63</definedName>
    <definedName name="RepMonth">'RPT-CTRL'!$C$3</definedName>
    <definedName name="Report_Month">'RPT-CTRL'!$B$38</definedName>
    <definedName name="ReportDate">'RPT MGT PnL'!$C$7</definedName>
    <definedName name="RepYear">'RPT-CTRL'!$C$4</definedName>
    <definedName name="SageTrialBalance">'TB Data'!$B$9:$CC$105</definedName>
    <definedName name="TB_Matrix" comment="Matrix to multiply a trial balance with old account codes and produce a new trial balance.">'TX-MIS'!$E$5:$BM$100</definedName>
    <definedName name="TB_Period">'TB Period'!$S$8:$AI$68</definedName>
    <definedName name="test">'RPT-CTRL'!$L$9:$M$11</definedName>
    <definedName name="TTB_MTD_CUR">'RPT-CTRL'!$B$13</definedName>
    <definedName name="TTB_TDD_OM">'RPT-CTRL'!$B$50</definedName>
    <definedName name="TTB_YTD">'RPT-CTRL'!$B$11</definedName>
    <definedName name="TTB_YTD_PM">'RPT-CTRL'!$B$54</definedName>
  </definedNames>
  <calcPr calcId="171027"/>
</workbook>
</file>

<file path=xl/calcChain.xml><?xml version="1.0" encoding="utf-8"?>
<calcChain xmlns="http://schemas.openxmlformats.org/spreadsheetml/2006/main">
  <c r="BF7" i="3" l="1" a="1"/>
  <c r="BH7" i="3" s="1"/>
  <c r="BF7" i="3"/>
  <c r="BG7" i="3"/>
  <c r="BJ7" i="3"/>
  <c r="BK7" i="3"/>
  <c r="BM7" i="3"/>
  <c r="BN7" i="3"/>
  <c r="BO7" i="3"/>
  <c r="BR7" i="3"/>
  <c r="BS7" i="3"/>
  <c r="BU7" i="3"/>
  <c r="BV7" i="3"/>
  <c r="BW7" i="3"/>
  <c r="BZ7" i="3"/>
  <c r="CA7" i="3"/>
  <c r="CC7" i="3"/>
  <c r="BF8" i="3"/>
  <c r="BG8" i="3"/>
  <c r="BJ8" i="3"/>
  <c r="BK8" i="3"/>
  <c r="BM8" i="3"/>
  <c r="BN8" i="3"/>
  <c r="BO8" i="3"/>
  <c r="BR8" i="3"/>
  <c r="BS8" i="3"/>
  <c r="BU8" i="3"/>
  <c r="BV8" i="3"/>
  <c r="BW8" i="3"/>
  <c r="BZ8" i="3"/>
  <c r="CA8" i="3"/>
  <c r="CC8" i="3"/>
  <c r="BF9" i="3"/>
  <c r="BG9" i="3"/>
  <c r="BJ9" i="3"/>
  <c r="BK9" i="3"/>
  <c r="BM9" i="3"/>
  <c r="BN9" i="3"/>
  <c r="BO9" i="3"/>
  <c r="BR9" i="3"/>
  <c r="BS9" i="3"/>
  <c r="BU9" i="3"/>
  <c r="BV9" i="3"/>
  <c r="BW9" i="3"/>
  <c r="BZ9" i="3"/>
  <c r="CA9" i="3"/>
  <c r="CC9" i="3"/>
  <c r="BF10" i="3"/>
  <c r="BG10" i="3"/>
  <c r="BJ10" i="3"/>
  <c r="BK10" i="3"/>
  <c r="BM10" i="3"/>
  <c r="BN10" i="3"/>
  <c r="BO10" i="3"/>
  <c r="BR10" i="3"/>
  <c r="BS10" i="3"/>
  <c r="BU10" i="3"/>
  <c r="BV10" i="3"/>
  <c r="BW10" i="3"/>
  <c r="BZ10" i="3"/>
  <c r="CA10" i="3"/>
  <c r="CC10" i="3"/>
  <c r="BF11" i="3"/>
  <c r="BG11" i="3"/>
  <c r="BJ11" i="3"/>
  <c r="BK11" i="3"/>
  <c r="BM11" i="3"/>
  <c r="BN11" i="3"/>
  <c r="BO11" i="3"/>
  <c r="BR11" i="3"/>
  <c r="BS11" i="3"/>
  <c r="BU11" i="3"/>
  <c r="BV11" i="3"/>
  <c r="BW11" i="3"/>
  <c r="BZ11" i="3"/>
  <c r="CA11" i="3"/>
  <c r="CC11" i="3"/>
  <c r="BF12" i="3"/>
  <c r="BG12" i="3"/>
  <c r="BJ12" i="3"/>
  <c r="BK12" i="3"/>
  <c r="BM12" i="3"/>
  <c r="BN12" i="3"/>
  <c r="BO12" i="3"/>
  <c r="BR12" i="3"/>
  <c r="BS12" i="3"/>
  <c r="BU12" i="3"/>
  <c r="BV12" i="3"/>
  <c r="BW12" i="3"/>
  <c r="BZ12" i="3"/>
  <c r="CA12" i="3"/>
  <c r="CC12" i="3"/>
  <c r="BF13" i="3"/>
  <c r="BG13" i="3"/>
  <c r="BJ13" i="3"/>
  <c r="BK13" i="3"/>
  <c r="BM13" i="3"/>
  <c r="BN13" i="3"/>
  <c r="BO13" i="3"/>
  <c r="BR13" i="3"/>
  <c r="BS13" i="3"/>
  <c r="BU13" i="3"/>
  <c r="BV13" i="3"/>
  <c r="BW13" i="3"/>
  <c r="BZ13" i="3"/>
  <c r="CA13" i="3"/>
  <c r="CC13" i="3"/>
  <c r="BF14" i="3"/>
  <c r="BG14" i="3"/>
  <c r="BJ14" i="3"/>
  <c r="BK14" i="3"/>
  <c r="BM14" i="3"/>
  <c r="BN14" i="3"/>
  <c r="BO14" i="3"/>
  <c r="BR14" i="3"/>
  <c r="BS14" i="3"/>
  <c r="BU14" i="3"/>
  <c r="BV14" i="3"/>
  <c r="BW14" i="3"/>
  <c r="BZ14" i="3"/>
  <c r="CA14" i="3"/>
  <c r="CC14" i="3"/>
  <c r="BF15" i="3"/>
  <c r="BG15" i="3"/>
  <c r="BJ15" i="3"/>
  <c r="BK15" i="3"/>
  <c r="BM15" i="3"/>
  <c r="BN15" i="3"/>
  <c r="BO15" i="3"/>
  <c r="BR15" i="3"/>
  <c r="BS15" i="3"/>
  <c r="BU15" i="3"/>
  <c r="BV15" i="3"/>
  <c r="BW15" i="3"/>
  <c r="BZ15" i="3"/>
  <c r="CA15" i="3"/>
  <c r="CC15" i="3"/>
  <c r="BF16" i="3"/>
  <c r="BG16" i="3"/>
  <c r="BJ16" i="3"/>
  <c r="BK16" i="3"/>
  <c r="BM16" i="3"/>
  <c r="BN16" i="3"/>
  <c r="BO16" i="3"/>
  <c r="BR16" i="3"/>
  <c r="BS16" i="3"/>
  <c r="BU16" i="3"/>
  <c r="BV16" i="3"/>
  <c r="BW16" i="3"/>
  <c r="BZ16" i="3"/>
  <c r="CA16" i="3"/>
  <c r="CC16" i="3"/>
  <c r="BF17" i="3"/>
  <c r="BG17" i="3"/>
  <c r="BJ17" i="3"/>
  <c r="BK17" i="3"/>
  <c r="BM17" i="3"/>
  <c r="BN17" i="3"/>
  <c r="BO17" i="3"/>
  <c r="BR17" i="3"/>
  <c r="BS17" i="3"/>
  <c r="BU17" i="3"/>
  <c r="BV17" i="3"/>
  <c r="BW17" i="3"/>
  <c r="BZ17" i="3"/>
  <c r="CA17" i="3"/>
  <c r="CC17" i="3"/>
  <c r="BF18" i="3"/>
  <c r="BG18" i="3"/>
  <c r="BJ18" i="3"/>
  <c r="BK18" i="3"/>
  <c r="BM18" i="3"/>
  <c r="BN18" i="3"/>
  <c r="BO18" i="3"/>
  <c r="BR18" i="3"/>
  <c r="BS18" i="3"/>
  <c r="BU18" i="3"/>
  <c r="BV18" i="3"/>
  <c r="BW18" i="3"/>
  <c r="BZ18" i="3"/>
  <c r="CA18" i="3"/>
  <c r="CC18" i="3"/>
  <c r="BF19" i="3"/>
  <c r="BG19" i="3"/>
  <c r="BJ19" i="3"/>
  <c r="BK19" i="3"/>
  <c r="BM19" i="3"/>
  <c r="BN19" i="3"/>
  <c r="BO19" i="3"/>
  <c r="BR19" i="3"/>
  <c r="BS19" i="3"/>
  <c r="BU19" i="3"/>
  <c r="BV19" i="3"/>
  <c r="BW19" i="3"/>
  <c r="BZ19" i="3"/>
  <c r="CA19" i="3"/>
  <c r="CC19" i="3"/>
  <c r="BF20" i="3"/>
  <c r="BG20" i="3"/>
  <c r="BJ20" i="3"/>
  <c r="BK20" i="3"/>
  <c r="BM20" i="3"/>
  <c r="BN20" i="3"/>
  <c r="BO20" i="3"/>
  <c r="BR20" i="3"/>
  <c r="BS20" i="3"/>
  <c r="BU20" i="3"/>
  <c r="BV20" i="3"/>
  <c r="BW20" i="3"/>
  <c r="BZ20" i="3"/>
  <c r="CA20" i="3"/>
  <c r="CC20" i="3"/>
  <c r="BF21" i="3"/>
  <c r="BG21" i="3"/>
  <c r="BJ21" i="3"/>
  <c r="BK21" i="3"/>
  <c r="BM21" i="3"/>
  <c r="BN21" i="3"/>
  <c r="BO21" i="3"/>
  <c r="BR21" i="3"/>
  <c r="BS21" i="3"/>
  <c r="BU21" i="3"/>
  <c r="BV21" i="3"/>
  <c r="BW21" i="3"/>
  <c r="BZ21" i="3"/>
  <c r="CA21" i="3"/>
  <c r="CC21" i="3"/>
  <c r="BF22" i="3"/>
  <c r="BG22" i="3"/>
  <c r="BJ22" i="3"/>
  <c r="BK22" i="3"/>
  <c r="BM22" i="3"/>
  <c r="BN22" i="3"/>
  <c r="BO22" i="3"/>
  <c r="BR22" i="3"/>
  <c r="BS22" i="3"/>
  <c r="BU22" i="3"/>
  <c r="BV22" i="3"/>
  <c r="BW22" i="3"/>
  <c r="BZ22" i="3"/>
  <c r="CA22" i="3"/>
  <c r="CC22" i="3"/>
  <c r="BF23" i="3"/>
  <c r="BG23" i="3"/>
  <c r="BJ23" i="3"/>
  <c r="BK23" i="3"/>
  <c r="BM23" i="3"/>
  <c r="BN23" i="3"/>
  <c r="BO23" i="3"/>
  <c r="BR23" i="3"/>
  <c r="BS23" i="3"/>
  <c r="BU23" i="3"/>
  <c r="BV23" i="3"/>
  <c r="BW23" i="3"/>
  <c r="BZ23" i="3"/>
  <c r="CA23" i="3"/>
  <c r="CC23" i="3"/>
  <c r="BF24" i="3"/>
  <c r="BG24" i="3"/>
  <c r="BJ24" i="3"/>
  <c r="BK24" i="3"/>
  <c r="BM24" i="3"/>
  <c r="BN24" i="3"/>
  <c r="BO24" i="3"/>
  <c r="BR24" i="3"/>
  <c r="BS24" i="3"/>
  <c r="BU24" i="3"/>
  <c r="BV24" i="3"/>
  <c r="BW24" i="3"/>
  <c r="BZ24" i="3"/>
  <c r="CA24" i="3"/>
  <c r="CC24" i="3"/>
  <c r="BF25" i="3"/>
  <c r="BG25" i="3"/>
  <c r="BJ25" i="3"/>
  <c r="BK25" i="3"/>
  <c r="BM25" i="3"/>
  <c r="BN25" i="3"/>
  <c r="BO25" i="3"/>
  <c r="BR25" i="3"/>
  <c r="BS25" i="3"/>
  <c r="BU25" i="3"/>
  <c r="BV25" i="3"/>
  <c r="BW25" i="3"/>
  <c r="BZ25" i="3"/>
  <c r="CA25" i="3"/>
  <c r="CC25" i="3"/>
  <c r="BF26" i="3"/>
  <c r="BG26" i="3"/>
  <c r="BJ26" i="3"/>
  <c r="BK26" i="3"/>
  <c r="BM26" i="3"/>
  <c r="BN26" i="3"/>
  <c r="BO26" i="3"/>
  <c r="BR26" i="3"/>
  <c r="BS26" i="3"/>
  <c r="BU26" i="3"/>
  <c r="BV26" i="3"/>
  <c r="BW26" i="3"/>
  <c r="BZ26" i="3"/>
  <c r="CA26" i="3"/>
  <c r="CC26" i="3"/>
  <c r="BF27" i="3"/>
  <c r="BG27" i="3"/>
  <c r="BJ27" i="3"/>
  <c r="BK27" i="3"/>
  <c r="BM27" i="3"/>
  <c r="BN27" i="3"/>
  <c r="BO27" i="3"/>
  <c r="BR27" i="3"/>
  <c r="BS27" i="3"/>
  <c r="BU27" i="3"/>
  <c r="BV27" i="3"/>
  <c r="BW27" i="3"/>
  <c r="BZ27" i="3"/>
  <c r="CA27" i="3"/>
  <c r="CC27" i="3"/>
  <c r="BF28" i="3"/>
  <c r="BG28" i="3"/>
  <c r="BJ28" i="3"/>
  <c r="BK28" i="3"/>
  <c r="BM28" i="3"/>
  <c r="BN28" i="3"/>
  <c r="BO28" i="3"/>
  <c r="BR28" i="3"/>
  <c r="BS28" i="3"/>
  <c r="BU28" i="3"/>
  <c r="BV28" i="3"/>
  <c r="BW28" i="3"/>
  <c r="BZ28" i="3"/>
  <c r="CA28" i="3"/>
  <c r="CC28" i="3"/>
  <c r="BF29" i="3"/>
  <c r="BG29" i="3"/>
  <c r="BJ29" i="3"/>
  <c r="BK29" i="3"/>
  <c r="BM29" i="3"/>
  <c r="BN29" i="3"/>
  <c r="BO29" i="3"/>
  <c r="BR29" i="3"/>
  <c r="BS29" i="3"/>
  <c r="BU29" i="3"/>
  <c r="BV29" i="3"/>
  <c r="BW29" i="3"/>
  <c r="BZ29" i="3"/>
  <c r="CA29" i="3"/>
  <c r="CC29" i="3"/>
  <c r="BF30" i="3"/>
  <c r="BG30" i="3"/>
  <c r="BJ30" i="3"/>
  <c r="BK30" i="3"/>
  <c r="BM30" i="3"/>
  <c r="BN30" i="3"/>
  <c r="BO30" i="3"/>
  <c r="BR30" i="3"/>
  <c r="BS30" i="3"/>
  <c r="BU30" i="3"/>
  <c r="BV30" i="3"/>
  <c r="BW30" i="3"/>
  <c r="BZ30" i="3"/>
  <c r="CA30" i="3"/>
  <c r="CC30" i="3"/>
  <c r="BF31" i="3"/>
  <c r="BG31" i="3"/>
  <c r="BJ31" i="3"/>
  <c r="BK31" i="3"/>
  <c r="BM31" i="3"/>
  <c r="BN31" i="3"/>
  <c r="BO31" i="3"/>
  <c r="BR31" i="3"/>
  <c r="BS31" i="3"/>
  <c r="BU31" i="3"/>
  <c r="BV31" i="3"/>
  <c r="BW31" i="3"/>
  <c r="BZ31" i="3"/>
  <c r="CA31" i="3"/>
  <c r="CC31" i="3"/>
  <c r="BF32" i="3"/>
  <c r="BG32" i="3"/>
  <c r="BJ32" i="3"/>
  <c r="BK32" i="3"/>
  <c r="BM32" i="3"/>
  <c r="BN32" i="3"/>
  <c r="BO32" i="3"/>
  <c r="BR32" i="3"/>
  <c r="BS32" i="3"/>
  <c r="BU32" i="3"/>
  <c r="BV32" i="3"/>
  <c r="BW32" i="3"/>
  <c r="BZ32" i="3"/>
  <c r="CA32" i="3"/>
  <c r="CC32" i="3"/>
  <c r="BF33" i="3"/>
  <c r="BG33" i="3"/>
  <c r="BJ33" i="3"/>
  <c r="BK33" i="3"/>
  <c r="BM33" i="3"/>
  <c r="BN33" i="3"/>
  <c r="BO33" i="3"/>
  <c r="BR33" i="3"/>
  <c r="BS33" i="3"/>
  <c r="BU33" i="3"/>
  <c r="BV33" i="3"/>
  <c r="BW33" i="3"/>
  <c r="BZ33" i="3"/>
  <c r="CA33" i="3"/>
  <c r="CC33" i="3"/>
  <c r="BF34" i="3"/>
  <c r="BG34" i="3"/>
  <c r="BJ34" i="3"/>
  <c r="BK34" i="3"/>
  <c r="BM34" i="3"/>
  <c r="BN34" i="3"/>
  <c r="BO34" i="3"/>
  <c r="BR34" i="3"/>
  <c r="BS34" i="3"/>
  <c r="BU34" i="3"/>
  <c r="BV34" i="3"/>
  <c r="BW34" i="3"/>
  <c r="BZ34" i="3"/>
  <c r="CA34" i="3"/>
  <c r="CC34" i="3"/>
  <c r="BF35" i="3"/>
  <c r="BG35" i="3"/>
  <c r="BJ35" i="3"/>
  <c r="BK35" i="3"/>
  <c r="BM35" i="3"/>
  <c r="BN35" i="3"/>
  <c r="BO35" i="3"/>
  <c r="BP35" i="3"/>
  <c r="BQ35" i="3"/>
  <c r="BR35" i="3"/>
  <c r="BS35" i="3"/>
  <c r="BT35" i="3"/>
  <c r="BU35" i="3"/>
  <c r="BV35" i="3"/>
  <c r="BW35" i="3"/>
  <c r="BX35" i="3"/>
  <c r="BY35" i="3"/>
  <c r="BZ35" i="3"/>
  <c r="CA35" i="3"/>
  <c r="CB35" i="3"/>
  <c r="CC35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V36" i="3"/>
  <c r="BW36" i="3"/>
  <c r="BX36" i="3"/>
  <c r="BY36" i="3"/>
  <c r="BZ36" i="3"/>
  <c r="CA36" i="3"/>
  <c r="CB36" i="3"/>
  <c r="CC36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V37" i="3"/>
  <c r="BW37" i="3"/>
  <c r="BX37" i="3"/>
  <c r="BY37" i="3"/>
  <c r="BZ37" i="3"/>
  <c r="CA37" i="3"/>
  <c r="CB37" i="3"/>
  <c r="CC37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V38" i="3"/>
  <c r="BW38" i="3"/>
  <c r="BX38" i="3"/>
  <c r="BY38" i="3"/>
  <c r="BZ38" i="3"/>
  <c r="CA38" i="3"/>
  <c r="CB38" i="3"/>
  <c r="CC38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V39" i="3"/>
  <c r="BW39" i="3"/>
  <c r="BX39" i="3"/>
  <c r="BY39" i="3"/>
  <c r="BZ39" i="3"/>
  <c r="CA39" i="3"/>
  <c r="CB39" i="3"/>
  <c r="CC39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V40" i="3"/>
  <c r="BW40" i="3"/>
  <c r="BX40" i="3"/>
  <c r="BY40" i="3"/>
  <c r="BZ40" i="3"/>
  <c r="CA40" i="3"/>
  <c r="CB40" i="3"/>
  <c r="CC40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V41" i="3"/>
  <c r="BW41" i="3"/>
  <c r="BX41" i="3"/>
  <c r="BY41" i="3"/>
  <c r="BZ41" i="3"/>
  <c r="CA41" i="3"/>
  <c r="CB41" i="3"/>
  <c r="CC41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V42" i="3"/>
  <c r="BW42" i="3"/>
  <c r="BX42" i="3"/>
  <c r="BY42" i="3"/>
  <c r="BZ42" i="3"/>
  <c r="CA42" i="3"/>
  <c r="CB42" i="3"/>
  <c r="CC42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V44" i="3"/>
  <c r="BW44" i="3"/>
  <c r="BX44" i="3"/>
  <c r="BY44" i="3"/>
  <c r="BZ44" i="3"/>
  <c r="CA44" i="3"/>
  <c r="CB44" i="3"/>
  <c r="CC44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V45" i="3"/>
  <c r="BW45" i="3"/>
  <c r="BX45" i="3"/>
  <c r="BY45" i="3"/>
  <c r="BZ45" i="3"/>
  <c r="CA45" i="3"/>
  <c r="CB45" i="3"/>
  <c r="CC45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V46" i="3"/>
  <c r="BW46" i="3"/>
  <c r="BX46" i="3"/>
  <c r="BY46" i="3"/>
  <c r="BZ46" i="3"/>
  <c r="CA46" i="3"/>
  <c r="CB46" i="3"/>
  <c r="CC46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V47" i="3"/>
  <c r="BW47" i="3"/>
  <c r="BX47" i="3"/>
  <c r="BY47" i="3"/>
  <c r="BZ47" i="3"/>
  <c r="CA47" i="3"/>
  <c r="CB47" i="3"/>
  <c r="CC47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V48" i="3"/>
  <c r="BW48" i="3"/>
  <c r="BX48" i="3"/>
  <c r="BY48" i="3"/>
  <c r="BZ48" i="3"/>
  <c r="CA48" i="3"/>
  <c r="CB48" i="3"/>
  <c r="CC48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V49" i="3"/>
  <c r="BW49" i="3"/>
  <c r="BX49" i="3"/>
  <c r="BY49" i="3"/>
  <c r="BZ49" i="3"/>
  <c r="CA49" i="3"/>
  <c r="CB49" i="3"/>
  <c r="CC49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V51" i="3"/>
  <c r="BW51" i="3"/>
  <c r="BX51" i="3"/>
  <c r="BY51" i="3"/>
  <c r="BZ51" i="3"/>
  <c r="CA51" i="3"/>
  <c r="CB51" i="3"/>
  <c r="CC51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V52" i="3"/>
  <c r="BW52" i="3"/>
  <c r="BX52" i="3"/>
  <c r="BY52" i="3"/>
  <c r="BZ52" i="3"/>
  <c r="CA52" i="3"/>
  <c r="CB52" i="3"/>
  <c r="CC52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V53" i="3"/>
  <c r="BW53" i="3"/>
  <c r="BX53" i="3"/>
  <c r="BY53" i="3"/>
  <c r="BZ53" i="3"/>
  <c r="CA53" i="3"/>
  <c r="CB53" i="3"/>
  <c r="CC53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V54" i="3"/>
  <c r="BW54" i="3"/>
  <c r="BX54" i="3"/>
  <c r="BY54" i="3"/>
  <c r="BZ54" i="3"/>
  <c r="CA54" i="3"/>
  <c r="CB54" i="3"/>
  <c r="CC54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V56" i="3"/>
  <c r="BW56" i="3"/>
  <c r="BX56" i="3"/>
  <c r="BY56" i="3"/>
  <c r="BZ56" i="3"/>
  <c r="CA56" i="3"/>
  <c r="CB56" i="3"/>
  <c r="CC56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V57" i="3"/>
  <c r="BW57" i="3"/>
  <c r="BX57" i="3"/>
  <c r="BY57" i="3"/>
  <c r="BZ57" i="3"/>
  <c r="CA57" i="3"/>
  <c r="CB57" i="3"/>
  <c r="CC57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V58" i="3"/>
  <c r="BW58" i="3"/>
  <c r="BX58" i="3"/>
  <c r="BY58" i="3"/>
  <c r="BZ58" i="3"/>
  <c r="CA58" i="3"/>
  <c r="CB58" i="3"/>
  <c r="CC58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V59" i="3"/>
  <c r="BW59" i="3"/>
  <c r="BX59" i="3"/>
  <c r="BY59" i="3"/>
  <c r="BZ59" i="3"/>
  <c r="CA59" i="3"/>
  <c r="CB59" i="3"/>
  <c r="CC59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V60" i="3"/>
  <c r="BW60" i="3"/>
  <c r="BX60" i="3"/>
  <c r="BY60" i="3"/>
  <c r="BZ60" i="3"/>
  <c r="CA60" i="3"/>
  <c r="CB60" i="3"/>
  <c r="CC60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V61" i="3"/>
  <c r="BW61" i="3"/>
  <c r="BX61" i="3"/>
  <c r="BY61" i="3"/>
  <c r="BZ61" i="3"/>
  <c r="CA61" i="3"/>
  <c r="CB61" i="3"/>
  <c r="CC61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V62" i="3"/>
  <c r="BW62" i="3"/>
  <c r="BX62" i="3"/>
  <c r="BY62" i="3"/>
  <c r="BZ62" i="3"/>
  <c r="CA62" i="3"/>
  <c r="CB62" i="3"/>
  <c r="CC62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V63" i="3"/>
  <c r="BW63" i="3"/>
  <c r="BX63" i="3"/>
  <c r="BY63" i="3"/>
  <c r="BZ63" i="3"/>
  <c r="CA63" i="3"/>
  <c r="CB63" i="3"/>
  <c r="CC63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V64" i="3"/>
  <c r="BW64" i="3"/>
  <c r="BX64" i="3"/>
  <c r="BY64" i="3"/>
  <c r="BZ64" i="3"/>
  <c r="CA64" i="3"/>
  <c r="CB64" i="3"/>
  <c r="CC64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V65" i="3"/>
  <c r="BW65" i="3"/>
  <c r="BX65" i="3"/>
  <c r="BY65" i="3"/>
  <c r="BZ65" i="3"/>
  <c r="CA65" i="3"/>
  <c r="CB65" i="3"/>
  <c r="CC65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V66" i="3"/>
  <c r="BW66" i="3"/>
  <c r="BX66" i="3"/>
  <c r="BY66" i="3"/>
  <c r="BZ66" i="3"/>
  <c r="CA66" i="3"/>
  <c r="CB66" i="3"/>
  <c r="CC66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V67" i="3"/>
  <c r="BW67" i="3"/>
  <c r="BX67" i="3"/>
  <c r="BY67" i="3"/>
  <c r="BZ67" i="3"/>
  <c r="CA67" i="3"/>
  <c r="CB67" i="3"/>
  <c r="CC67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V68" i="3"/>
  <c r="BW68" i="3"/>
  <c r="BX68" i="3"/>
  <c r="BY68" i="3"/>
  <c r="BZ68" i="3"/>
  <c r="CA68" i="3"/>
  <c r="CB68" i="3"/>
  <c r="CC68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V69" i="3"/>
  <c r="BW69" i="3"/>
  <c r="BX69" i="3"/>
  <c r="BY69" i="3"/>
  <c r="BZ69" i="3"/>
  <c r="CA69" i="3"/>
  <c r="CB69" i="3"/>
  <c r="CC69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V70" i="3"/>
  <c r="BW70" i="3"/>
  <c r="BX70" i="3"/>
  <c r="BY70" i="3"/>
  <c r="BZ70" i="3"/>
  <c r="CA70" i="3"/>
  <c r="CB70" i="3"/>
  <c r="CC70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V71" i="3"/>
  <c r="BW71" i="3"/>
  <c r="BX71" i="3"/>
  <c r="BY71" i="3"/>
  <c r="BZ71" i="3"/>
  <c r="CA71" i="3"/>
  <c r="CB71" i="3"/>
  <c r="CC71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V72" i="3"/>
  <c r="BW72" i="3"/>
  <c r="BX72" i="3"/>
  <c r="BY72" i="3"/>
  <c r="BZ72" i="3"/>
  <c r="CA72" i="3"/>
  <c r="CB72" i="3"/>
  <c r="CC72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V73" i="3"/>
  <c r="BW73" i="3"/>
  <c r="BX73" i="3"/>
  <c r="BY73" i="3"/>
  <c r="BZ73" i="3"/>
  <c r="CA73" i="3"/>
  <c r="CB73" i="3"/>
  <c r="CC73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V74" i="3"/>
  <c r="BW74" i="3"/>
  <c r="BX74" i="3"/>
  <c r="BY74" i="3"/>
  <c r="BZ74" i="3"/>
  <c r="CA74" i="3"/>
  <c r="CB74" i="3"/>
  <c r="CC74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V75" i="3"/>
  <c r="BW75" i="3"/>
  <c r="BX75" i="3"/>
  <c r="BY75" i="3"/>
  <c r="BZ75" i="3"/>
  <c r="CA75" i="3"/>
  <c r="CB75" i="3"/>
  <c r="CC75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V76" i="3"/>
  <c r="BW76" i="3"/>
  <c r="BX76" i="3"/>
  <c r="BY76" i="3"/>
  <c r="BZ76" i="3"/>
  <c r="CA76" i="3"/>
  <c r="CB76" i="3"/>
  <c r="CC76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V77" i="3"/>
  <c r="BW77" i="3"/>
  <c r="BX77" i="3"/>
  <c r="BY77" i="3"/>
  <c r="BZ77" i="3"/>
  <c r="CA77" i="3"/>
  <c r="CB77" i="3"/>
  <c r="CC77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V78" i="3"/>
  <c r="BW78" i="3"/>
  <c r="BX78" i="3"/>
  <c r="BY78" i="3"/>
  <c r="BZ78" i="3"/>
  <c r="CA78" i="3"/>
  <c r="CB78" i="3"/>
  <c r="CC78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V79" i="3"/>
  <c r="BW79" i="3"/>
  <c r="BX79" i="3"/>
  <c r="BY79" i="3"/>
  <c r="BZ79" i="3"/>
  <c r="CA79" i="3"/>
  <c r="CB79" i="3"/>
  <c r="CC79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V80" i="3"/>
  <c r="BW80" i="3"/>
  <c r="BX80" i="3"/>
  <c r="BY80" i="3"/>
  <c r="BZ80" i="3"/>
  <c r="CA80" i="3"/>
  <c r="CB80" i="3"/>
  <c r="CC80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V81" i="3"/>
  <c r="BW81" i="3"/>
  <c r="BX81" i="3"/>
  <c r="BY81" i="3"/>
  <c r="BZ81" i="3"/>
  <c r="CA81" i="3"/>
  <c r="CB81" i="3"/>
  <c r="CC81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V82" i="3"/>
  <c r="BW82" i="3"/>
  <c r="BX82" i="3"/>
  <c r="BY82" i="3"/>
  <c r="BZ82" i="3"/>
  <c r="CA82" i="3"/>
  <c r="CB82" i="3"/>
  <c r="CC82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V83" i="3"/>
  <c r="BW83" i="3"/>
  <c r="BX83" i="3"/>
  <c r="BY83" i="3"/>
  <c r="BZ83" i="3"/>
  <c r="CA83" i="3"/>
  <c r="CB83" i="3"/>
  <c r="CC83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V84" i="3"/>
  <c r="BW84" i="3"/>
  <c r="BX84" i="3"/>
  <c r="BY84" i="3"/>
  <c r="BZ84" i="3"/>
  <c r="CA84" i="3"/>
  <c r="CB84" i="3"/>
  <c r="CC84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V85" i="3"/>
  <c r="BW85" i="3"/>
  <c r="BX85" i="3"/>
  <c r="BY85" i="3"/>
  <c r="BZ85" i="3"/>
  <c r="CA85" i="3"/>
  <c r="CB85" i="3"/>
  <c r="CC85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V87" i="3"/>
  <c r="BW87" i="3"/>
  <c r="BX87" i="3"/>
  <c r="BY87" i="3"/>
  <c r="BZ87" i="3"/>
  <c r="CA87" i="3"/>
  <c r="CB87" i="3"/>
  <c r="CC87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V88" i="3"/>
  <c r="BW88" i="3"/>
  <c r="BX88" i="3"/>
  <c r="BY88" i="3"/>
  <c r="BZ88" i="3"/>
  <c r="CA88" i="3"/>
  <c r="CB88" i="3"/>
  <c r="CC88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V89" i="3"/>
  <c r="BW89" i="3"/>
  <c r="BX89" i="3"/>
  <c r="BY89" i="3"/>
  <c r="BZ89" i="3"/>
  <c r="CA89" i="3"/>
  <c r="CB89" i="3"/>
  <c r="CC89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V90" i="3"/>
  <c r="BW90" i="3"/>
  <c r="BX90" i="3"/>
  <c r="BY90" i="3"/>
  <c r="BZ90" i="3"/>
  <c r="CA90" i="3"/>
  <c r="CB90" i="3"/>
  <c r="CC90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V91" i="3"/>
  <c r="BW91" i="3"/>
  <c r="BX91" i="3"/>
  <c r="BY91" i="3"/>
  <c r="BZ91" i="3"/>
  <c r="CA91" i="3"/>
  <c r="CB91" i="3"/>
  <c r="CC91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V92" i="3"/>
  <c r="BW92" i="3"/>
  <c r="BX92" i="3"/>
  <c r="BY92" i="3"/>
  <c r="BZ92" i="3"/>
  <c r="CA92" i="3"/>
  <c r="CB92" i="3"/>
  <c r="CC92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V93" i="3"/>
  <c r="BW93" i="3"/>
  <c r="BX93" i="3"/>
  <c r="BY93" i="3"/>
  <c r="BZ93" i="3"/>
  <c r="CA93" i="3"/>
  <c r="CB93" i="3"/>
  <c r="CC93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V94" i="3"/>
  <c r="BW94" i="3"/>
  <c r="BX94" i="3"/>
  <c r="BY94" i="3"/>
  <c r="BZ94" i="3"/>
  <c r="CA94" i="3"/>
  <c r="CB94" i="3"/>
  <c r="CC94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V95" i="3"/>
  <c r="BW95" i="3"/>
  <c r="BX95" i="3"/>
  <c r="BY95" i="3"/>
  <c r="BZ95" i="3"/>
  <c r="CA95" i="3"/>
  <c r="CB95" i="3"/>
  <c r="CC95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V96" i="3"/>
  <c r="BW96" i="3"/>
  <c r="BX96" i="3"/>
  <c r="BY96" i="3"/>
  <c r="BZ96" i="3"/>
  <c r="CA96" i="3"/>
  <c r="CB96" i="3"/>
  <c r="CC96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V97" i="3"/>
  <c r="BW97" i="3"/>
  <c r="BX97" i="3"/>
  <c r="BY97" i="3"/>
  <c r="BZ97" i="3"/>
  <c r="CA97" i="3"/>
  <c r="CB97" i="3"/>
  <c r="CC97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V98" i="3"/>
  <c r="BW98" i="3"/>
  <c r="BX98" i="3"/>
  <c r="BY98" i="3"/>
  <c r="BZ98" i="3"/>
  <c r="CA98" i="3"/>
  <c r="CB98" i="3"/>
  <c r="CC98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V99" i="3"/>
  <c r="BW99" i="3"/>
  <c r="BX99" i="3"/>
  <c r="BY99" i="3"/>
  <c r="BZ99" i="3"/>
  <c r="CA99" i="3"/>
  <c r="CB99" i="3"/>
  <c r="CC99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V100" i="3"/>
  <c r="BW100" i="3"/>
  <c r="BX100" i="3"/>
  <c r="BY100" i="3"/>
  <c r="BZ100" i="3"/>
  <c r="CA100" i="3"/>
  <c r="CB100" i="3"/>
  <c r="CC100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V101" i="3"/>
  <c r="BW101" i="3"/>
  <c r="BX101" i="3"/>
  <c r="BY101" i="3"/>
  <c r="BZ101" i="3"/>
  <c r="CA101" i="3"/>
  <c r="CB101" i="3"/>
  <c r="CC101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V102" i="3"/>
  <c r="BW102" i="3"/>
  <c r="BX102" i="3"/>
  <c r="BY102" i="3"/>
  <c r="BZ102" i="3"/>
  <c r="CA102" i="3"/>
  <c r="CB102" i="3"/>
  <c r="CC102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V103" i="3"/>
  <c r="BW103" i="3"/>
  <c r="BX103" i="3"/>
  <c r="BY103" i="3"/>
  <c r="BZ103" i="3"/>
  <c r="CA103" i="3"/>
  <c r="CB103" i="3"/>
  <c r="CC103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V104" i="3"/>
  <c r="BW104" i="3"/>
  <c r="BX104" i="3"/>
  <c r="BY104" i="3"/>
  <c r="BZ104" i="3"/>
  <c r="CA104" i="3"/>
  <c r="CB104" i="3"/>
  <c r="CC104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V105" i="3"/>
  <c r="BW105" i="3"/>
  <c r="BX105" i="3"/>
  <c r="BY105" i="3"/>
  <c r="BZ105" i="3"/>
  <c r="CA105" i="3"/>
  <c r="CB105" i="3"/>
  <c r="CC105" i="3"/>
  <c r="BE7" i="3" a="1"/>
  <c r="BE7" i="3" s="1"/>
  <c r="BE14" i="3"/>
  <c r="BE22" i="3"/>
  <c r="BL35" i="3" l="1"/>
  <c r="CB34" i="3"/>
  <c r="BT34" i="3"/>
  <c r="BL34" i="3"/>
  <c r="CB33" i="3"/>
  <c r="BT33" i="3"/>
  <c r="BL33" i="3"/>
  <c r="CB32" i="3"/>
  <c r="BT32" i="3"/>
  <c r="BL32" i="3"/>
  <c r="CB31" i="3"/>
  <c r="BT31" i="3"/>
  <c r="BL31" i="3"/>
  <c r="CB30" i="3"/>
  <c r="BT30" i="3"/>
  <c r="BL30" i="3"/>
  <c r="CB29" i="3"/>
  <c r="BT29" i="3"/>
  <c r="BL29" i="3"/>
  <c r="CB28" i="3"/>
  <c r="BT28" i="3"/>
  <c r="BL28" i="3"/>
  <c r="CB27" i="3"/>
  <c r="BT27" i="3"/>
  <c r="BL27" i="3"/>
  <c r="CB26" i="3"/>
  <c r="BT26" i="3"/>
  <c r="BL26" i="3"/>
  <c r="CB25" i="3"/>
  <c r="BT25" i="3"/>
  <c r="BL25" i="3"/>
  <c r="CB24" i="3"/>
  <c r="BT24" i="3"/>
  <c r="BL24" i="3"/>
  <c r="CB23" i="3"/>
  <c r="BT23" i="3"/>
  <c r="BL23" i="3"/>
  <c r="CB22" i="3"/>
  <c r="BT22" i="3"/>
  <c r="BL22" i="3"/>
  <c r="CB21" i="3"/>
  <c r="BT21" i="3"/>
  <c r="BL21" i="3"/>
  <c r="CB20" i="3"/>
  <c r="BT20" i="3"/>
  <c r="BL20" i="3"/>
  <c r="CB19" i="3"/>
  <c r="BT19" i="3"/>
  <c r="BL19" i="3"/>
  <c r="CB18" i="3"/>
  <c r="BT18" i="3"/>
  <c r="BL18" i="3"/>
  <c r="CB17" i="3"/>
  <c r="BT17" i="3"/>
  <c r="BL17" i="3"/>
  <c r="CB16" i="3"/>
  <c r="BT16" i="3"/>
  <c r="BL16" i="3"/>
  <c r="CB15" i="3"/>
  <c r="BT15" i="3"/>
  <c r="BL15" i="3"/>
  <c r="CB14" i="3"/>
  <c r="BT14" i="3"/>
  <c r="BL14" i="3"/>
  <c r="CB13" i="3"/>
  <c r="BT13" i="3"/>
  <c r="BL13" i="3"/>
  <c r="CB12" i="3"/>
  <c r="BT12" i="3"/>
  <c r="BL12" i="3"/>
  <c r="CB11" i="3"/>
  <c r="BT11" i="3"/>
  <c r="BL11" i="3"/>
  <c r="CB10" i="3"/>
  <c r="BT10" i="3"/>
  <c r="BL10" i="3"/>
  <c r="CB9" i="3"/>
  <c r="BT9" i="3"/>
  <c r="BL9" i="3"/>
  <c r="CB8" i="3"/>
  <c r="BT8" i="3"/>
  <c r="BL8" i="3"/>
  <c r="CB7" i="3"/>
  <c r="BT7" i="3"/>
  <c r="BL7" i="3"/>
  <c r="BI35" i="3"/>
  <c r="BY34" i="3"/>
  <c r="BQ34" i="3"/>
  <c r="BI34" i="3"/>
  <c r="BY33" i="3"/>
  <c r="BQ33" i="3"/>
  <c r="BI33" i="3"/>
  <c r="BY32" i="3"/>
  <c r="BQ32" i="3"/>
  <c r="BI32" i="3"/>
  <c r="BY31" i="3"/>
  <c r="BQ31" i="3"/>
  <c r="BI31" i="3"/>
  <c r="BY30" i="3"/>
  <c r="BQ30" i="3"/>
  <c r="BI30" i="3"/>
  <c r="BY29" i="3"/>
  <c r="BQ29" i="3"/>
  <c r="BI29" i="3"/>
  <c r="BY28" i="3"/>
  <c r="BQ28" i="3"/>
  <c r="BI28" i="3"/>
  <c r="BY27" i="3"/>
  <c r="BQ27" i="3"/>
  <c r="BI27" i="3"/>
  <c r="BY26" i="3"/>
  <c r="BQ26" i="3"/>
  <c r="BI26" i="3"/>
  <c r="BY25" i="3"/>
  <c r="BQ25" i="3"/>
  <c r="BI25" i="3"/>
  <c r="BY24" i="3"/>
  <c r="BQ24" i="3"/>
  <c r="BI24" i="3"/>
  <c r="BY23" i="3"/>
  <c r="BQ23" i="3"/>
  <c r="BI23" i="3"/>
  <c r="BY22" i="3"/>
  <c r="BQ22" i="3"/>
  <c r="BI22" i="3"/>
  <c r="BY21" i="3"/>
  <c r="BQ21" i="3"/>
  <c r="BI21" i="3"/>
  <c r="BY20" i="3"/>
  <c r="BQ20" i="3"/>
  <c r="BI20" i="3"/>
  <c r="BY19" i="3"/>
  <c r="BQ19" i="3"/>
  <c r="BI19" i="3"/>
  <c r="BY18" i="3"/>
  <c r="BQ18" i="3"/>
  <c r="BI18" i="3"/>
  <c r="BY17" i="3"/>
  <c r="BQ17" i="3"/>
  <c r="BI17" i="3"/>
  <c r="BY16" i="3"/>
  <c r="BQ16" i="3"/>
  <c r="BI16" i="3"/>
  <c r="BY15" i="3"/>
  <c r="BQ15" i="3"/>
  <c r="BI15" i="3"/>
  <c r="BY14" i="3"/>
  <c r="BQ14" i="3"/>
  <c r="BI14" i="3"/>
  <c r="BY13" i="3"/>
  <c r="BQ13" i="3"/>
  <c r="BI13" i="3"/>
  <c r="BY12" i="3"/>
  <c r="BQ12" i="3"/>
  <c r="BI12" i="3"/>
  <c r="BY11" i="3"/>
  <c r="BQ11" i="3"/>
  <c r="BI11" i="3"/>
  <c r="BY10" i="3"/>
  <c r="BY6" i="3" s="1"/>
  <c r="BQ10" i="3"/>
  <c r="BI10" i="3"/>
  <c r="BY9" i="3"/>
  <c r="BQ9" i="3"/>
  <c r="BI9" i="3"/>
  <c r="BY8" i="3"/>
  <c r="BQ8" i="3"/>
  <c r="BI8" i="3"/>
  <c r="BY7" i="3"/>
  <c r="BQ7" i="3"/>
  <c r="BI7" i="3"/>
  <c r="BH35" i="3"/>
  <c r="BX34" i="3"/>
  <c r="BP34" i="3"/>
  <c r="BH34" i="3"/>
  <c r="BX33" i="3"/>
  <c r="BP33" i="3"/>
  <c r="BH33" i="3"/>
  <c r="BX32" i="3"/>
  <c r="BP32" i="3"/>
  <c r="BH32" i="3"/>
  <c r="BX31" i="3"/>
  <c r="BP31" i="3"/>
  <c r="BH31" i="3"/>
  <c r="BX30" i="3"/>
  <c r="BP30" i="3"/>
  <c r="BH30" i="3"/>
  <c r="BX29" i="3"/>
  <c r="BP29" i="3"/>
  <c r="BH29" i="3"/>
  <c r="BX28" i="3"/>
  <c r="BP28" i="3"/>
  <c r="BH28" i="3"/>
  <c r="BX27" i="3"/>
  <c r="BP27" i="3"/>
  <c r="BH27" i="3"/>
  <c r="BX26" i="3"/>
  <c r="BP26" i="3"/>
  <c r="BH26" i="3"/>
  <c r="BX25" i="3"/>
  <c r="BP25" i="3"/>
  <c r="BH25" i="3"/>
  <c r="BX24" i="3"/>
  <c r="BP24" i="3"/>
  <c r="BH24" i="3"/>
  <c r="BX23" i="3"/>
  <c r="BP23" i="3"/>
  <c r="BH23" i="3"/>
  <c r="BX22" i="3"/>
  <c r="BP22" i="3"/>
  <c r="BH22" i="3"/>
  <c r="BX21" i="3"/>
  <c r="BP21" i="3"/>
  <c r="BH21" i="3"/>
  <c r="BX20" i="3"/>
  <c r="BP20" i="3"/>
  <c r="BH20" i="3"/>
  <c r="BX19" i="3"/>
  <c r="BP19" i="3"/>
  <c r="BH19" i="3"/>
  <c r="BX18" i="3"/>
  <c r="BP18" i="3"/>
  <c r="BH18" i="3"/>
  <c r="BX17" i="3"/>
  <c r="BP17" i="3"/>
  <c r="BH17" i="3"/>
  <c r="BX16" i="3"/>
  <c r="BP16" i="3"/>
  <c r="BH16" i="3"/>
  <c r="BX15" i="3"/>
  <c r="BP15" i="3"/>
  <c r="BH15" i="3"/>
  <c r="BX14" i="3"/>
  <c r="BP14" i="3"/>
  <c r="BH14" i="3"/>
  <c r="BX13" i="3"/>
  <c r="BP13" i="3"/>
  <c r="BH13" i="3"/>
  <c r="BX12" i="3"/>
  <c r="BP12" i="3"/>
  <c r="BH12" i="3"/>
  <c r="BX11" i="3"/>
  <c r="BP11" i="3"/>
  <c r="BH11" i="3"/>
  <c r="BX10" i="3"/>
  <c r="BP10" i="3"/>
  <c r="BH10" i="3"/>
  <c r="BX9" i="3"/>
  <c r="BP9" i="3"/>
  <c r="BH9" i="3"/>
  <c r="BX8" i="3"/>
  <c r="BP8" i="3"/>
  <c r="BH8" i="3"/>
  <c r="BX7" i="3"/>
  <c r="BP7" i="3"/>
  <c r="BE102" i="3"/>
  <c r="BE94" i="3"/>
  <c r="BE86" i="3"/>
  <c r="BE78" i="3"/>
  <c r="BE70" i="3"/>
  <c r="BE62" i="3"/>
  <c r="BE54" i="3"/>
  <c r="BE46" i="3"/>
  <c r="BE38" i="3"/>
  <c r="BE30" i="3"/>
  <c r="BE101" i="3"/>
  <c r="BE93" i="3"/>
  <c r="BE85" i="3"/>
  <c r="BE77" i="3"/>
  <c r="BE69" i="3"/>
  <c r="BE61" i="3"/>
  <c r="BE53" i="3"/>
  <c r="BE45" i="3"/>
  <c r="BE37" i="3"/>
  <c r="BE29" i="3"/>
  <c r="BE21" i="3"/>
  <c r="BE13" i="3"/>
  <c r="BE100" i="3"/>
  <c r="BE92" i="3"/>
  <c r="BE84" i="3"/>
  <c r="BE76" i="3"/>
  <c r="BE68" i="3"/>
  <c r="BE60" i="3"/>
  <c r="BE52" i="3"/>
  <c r="BE44" i="3"/>
  <c r="BE36" i="3"/>
  <c r="BE28" i="3"/>
  <c r="BE20" i="3"/>
  <c r="BE12" i="3"/>
  <c r="BE99" i="3"/>
  <c r="BE91" i="3"/>
  <c r="BE83" i="3"/>
  <c r="BE75" i="3"/>
  <c r="BE67" i="3"/>
  <c r="BE59" i="3"/>
  <c r="BE51" i="3"/>
  <c r="BE43" i="3"/>
  <c r="BE35" i="3"/>
  <c r="BE27" i="3"/>
  <c r="BE19" i="3"/>
  <c r="BE11" i="3"/>
  <c r="BE98" i="3"/>
  <c r="BE90" i="3"/>
  <c r="BE82" i="3"/>
  <c r="BE74" i="3"/>
  <c r="BE66" i="3"/>
  <c r="BE58" i="3"/>
  <c r="BE50" i="3"/>
  <c r="BE42" i="3"/>
  <c r="BE34" i="3"/>
  <c r="BE26" i="3"/>
  <c r="BE18" i="3"/>
  <c r="BE10" i="3"/>
  <c r="BE105" i="3"/>
  <c r="BE97" i="3"/>
  <c r="BE89" i="3"/>
  <c r="BE81" i="3"/>
  <c r="BE73" i="3"/>
  <c r="BE65" i="3"/>
  <c r="BE57" i="3"/>
  <c r="BE49" i="3"/>
  <c r="BE41" i="3"/>
  <c r="BE33" i="3"/>
  <c r="BE25" i="3"/>
  <c r="BE17" i="3"/>
  <c r="BE9" i="3"/>
  <c r="BE104" i="3"/>
  <c r="BE96" i="3"/>
  <c r="BE88" i="3"/>
  <c r="BE80" i="3"/>
  <c r="BE72" i="3"/>
  <c r="BE64" i="3"/>
  <c r="BE56" i="3"/>
  <c r="BE48" i="3"/>
  <c r="BE40" i="3"/>
  <c r="BE32" i="3"/>
  <c r="BE24" i="3"/>
  <c r="BE16" i="3"/>
  <c r="BE8" i="3"/>
  <c r="BE103" i="3"/>
  <c r="BE95" i="3"/>
  <c r="BE87" i="3"/>
  <c r="BE79" i="3"/>
  <c r="BE71" i="3"/>
  <c r="BE63" i="3"/>
  <c r="BE55" i="3"/>
  <c r="BE47" i="3"/>
  <c r="BE39" i="3"/>
  <c r="BE31" i="3"/>
  <c r="BE23" i="3"/>
  <c r="BE15" i="3"/>
  <c r="BI6" i="3"/>
  <c r="BG6" i="3"/>
  <c r="BW6" i="3"/>
  <c r="BQ6" i="3"/>
  <c r="CC6" i="3"/>
  <c r="BO6" i="3"/>
  <c r="AD6" i="32"/>
  <c r="AC6" i="32"/>
  <c r="AB6" i="32"/>
  <c r="AA6" i="32"/>
  <c r="Z6" i="32"/>
  <c r="Y6" i="32"/>
  <c r="X6" i="32"/>
  <c r="W6" i="32"/>
  <c r="V6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C6" i="32"/>
  <c r="BE6" i="3" l="1"/>
  <c r="BV6" i="3"/>
  <c r="BU6" i="3"/>
  <c r="BT6" i="3"/>
  <c r="BH6" i="3"/>
  <c r="CB6" i="3"/>
  <c r="BN6" i="3"/>
  <c r="BM6" i="3"/>
  <c r="BL6" i="3"/>
  <c r="BK6" i="3"/>
  <c r="BF6" i="3"/>
  <c r="BP6" i="3"/>
  <c r="BZ6" i="3"/>
  <c r="BR6" i="3"/>
  <c r="CA6" i="3"/>
  <c r="BJ6" i="3"/>
  <c r="BS6" i="3"/>
  <c r="BX6" i="3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R5" i="12" l="1"/>
  <c r="F48" i="30" l="1"/>
  <c r="Q5" i="12" l="1"/>
  <c r="AO7" i="1" l="1"/>
  <c r="AN7" i="1"/>
  <c r="AM13" i="1"/>
  <c r="AM30" i="1"/>
  <c r="AM33" i="1"/>
  <c r="AM18" i="1"/>
  <c r="AM17" i="1"/>
  <c r="AL16" i="1"/>
  <c r="AM7" i="1"/>
  <c r="AL7" i="1"/>
  <c r="AK7" i="1"/>
  <c r="AJ7" i="1"/>
  <c r="AK33" i="1"/>
  <c r="AK30" i="1"/>
  <c r="AK27" i="1"/>
  <c r="AK18" i="1"/>
  <c r="AK17" i="1"/>
  <c r="AK16" i="1"/>
  <c r="AJ16" i="1"/>
  <c r="AK13" i="1"/>
  <c r="AJ13" i="1"/>
  <c r="E48" i="30"/>
  <c r="G48" i="30" s="1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9" i="30"/>
  <c r="AT3" i="25" l="1"/>
  <c r="N77" i="26"/>
  <c r="L77" i="26"/>
  <c r="J77" i="26"/>
  <c r="H77" i="26"/>
  <c r="E77" i="26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A100" i="25"/>
  <c r="B74" i="25"/>
  <c r="AE7" i="3" a="1"/>
  <c r="AT7" i="3" s="1"/>
  <c r="AL8" i="3"/>
  <c r="AT8" i="3"/>
  <c r="AL10" i="3"/>
  <c r="BB10" i="3"/>
  <c r="AI11" i="3"/>
  <c r="BB11" i="3"/>
  <c r="AT12" i="3"/>
  <c r="AY12" i="3"/>
  <c r="AQ13" i="3"/>
  <c r="AE14" i="3"/>
  <c r="AI14" i="3"/>
  <c r="BB14" i="3"/>
  <c r="AQ15" i="3"/>
  <c r="AT15" i="3"/>
  <c r="AL16" i="3"/>
  <c r="AY16" i="3"/>
  <c r="AI17" i="3"/>
  <c r="AY17" i="3"/>
  <c r="AL18" i="3"/>
  <c r="AQ18" i="3"/>
  <c r="AL19" i="3"/>
  <c r="AY19" i="3"/>
  <c r="BB19" i="3"/>
  <c r="AT20" i="3"/>
  <c r="AI21" i="3"/>
  <c r="AM21" i="3"/>
  <c r="AE22" i="3"/>
  <c r="AT22" i="3"/>
  <c r="AU22" i="3"/>
  <c r="AQ23" i="3"/>
  <c r="AE24" i="3"/>
  <c r="AI24" i="3"/>
  <c r="AY24" i="3"/>
  <c r="AM25" i="3"/>
  <c r="AT25" i="3"/>
  <c r="AL26" i="3"/>
  <c r="AY26" i="3"/>
  <c r="BB26" i="3"/>
  <c r="AY27" i="3"/>
  <c r="AL28" i="3"/>
  <c r="AQ28" i="3"/>
  <c r="AI29" i="3"/>
  <c r="AT29" i="3"/>
  <c r="BB29" i="3"/>
  <c r="AT30" i="3"/>
  <c r="AE31" i="3"/>
  <c r="AI31" i="3"/>
  <c r="AV31" i="3"/>
  <c r="AJ32" i="3"/>
  <c r="AL32" i="3"/>
  <c r="AY32" i="3"/>
  <c r="AL33" i="3"/>
  <c r="AO33" i="3"/>
  <c r="BB33" i="3"/>
  <c r="AM34" i="3"/>
  <c r="AO34" i="3"/>
  <c r="AQ34" i="3"/>
  <c r="AG35" i="3"/>
  <c r="AL35" i="3"/>
  <c r="AN35" i="3"/>
  <c r="AP35" i="3"/>
  <c r="AX35" i="3"/>
  <c r="AE36" i="3"/>
  <c r="AF36" i="3"/>
  <c r="AJ36" i="3"/>
  <c r="AR36" i="3"/>
  <c r="AV36" i="3"/>
  <c r="AX36" i="3"/>
  <c r="AZ36" i="3"/>
  <c r="AL37" i="3"/>
  <c r="AN37" i="3"/>
  <c r="AR37" i="3"/>
  <c r="AT37" i="3"/>
  <c r="BB37" i="3"/>
  <c r="AH38" i="3"/>
  <c r="AJ38" i="3"/>
  <c r="AM38" i="3"/>
  <c r="AU38" i="3"/>
  <c r="AZ38" i="3"/>
  <c r="BB38" i="3"/>
  <c r="AE39" i="3"/>
  <c r="AN39" i="3"/>
  <c r="AR39" i="3"/>
  <c r="AU39" i="3"/>
  <c r="AV39" i="3"/>
  <c r="AF40" i="3"/>
  <c r="AL40" i="3"/>
  <c r="AM40" i="3"/>
  <c r="AP40" i="3"/>
  <c r="AX40" i="3"/>
  <c r="AE41" i="3"/>
  <c r="AF41" i="3"/>
  <c r="AH41" i="3"/>
  <c r="AR41" i="3"/>
  <c r="AU41" i="3"/>
  <c r="AX41" i="3"/>
  <c r="AZ41" i="3"/>
  <c r="AJ42" i="3"/>
  <c r="AN42" i="3"/>
  <c r="AP42" i="3"/>
  <c r="AT42" i="3"/>
  <c r="BB42" i="3"/>
  <c r="AH43" i="3"/>
  <c r="AJ43" i="3"/>
  <c r="AL43" i="3"/>
  <c r="AU43" i="3"/>
  <c r="AX43" i="3"/>
  <c r="BB43" i="3"/>
  <c r="AE44" i="3"/>
  <c r="AM44" i="3"/>
  <c r="AR44" i="3"/>
  <c r="AT44" i="3"/>
  <c r="AV44" i="3"/>
  <c r="AF45" i="3"/>
  <c r="AL45" i="3"/>
  <c r="AM45" i="3"/>
  <c r="AN45" i="3"/>
  <c r="AX45" i="3"/>
  <c r="BB45" i="3"/>
  <c r="AF46" i="3"/>
  <c r="AH46" i="3"/>
  <c r="AP46" i="3"/>
  <c r="AU46" i="3"/>
  <c r="AV46" i="3"/>
  <c r="AZ46" i="3"/>
  <c r="AJ47" i="3"/>
  <c r="AN47" i="3"/>
  <c r="AP47" i="3"/>
  <c r="AQ47" i="3"/>
  <c r="AW47" i="3"/>
  <c r="AY47" i="3"/>
  <c r="BA47" i="3"/>
  <c r="BB47" i="3"/>
  <c r="AI48" i="3"/>
  <c r="AL48" i="3"/>
  <c r="AM48" i="3"/>
  <c r="AO48" i="3"/>
  <c r="AT48" i="3"/>
  <c r="AW48" i="3"/>
  <c r="AX48" i="3"/>
  <c r="AY48" i="3"/>
  <c r="AG49" i="3"/>
  <c r="AI49" i="3"/>
  <c r="AK49" i="3"/>
  <c r="AL49" i="3"/>
  <c r="AQ49" i="3"/>
  <c r="AT49" i="3"/>
  <c r="AU49" i="3"/>
  <c r="AW49" i="3"/>
  <c r="BB49" i="3"/>
  <c r="AG50" i="3"/>
  <c r="AH50" i="3"/>
  <c r="AI50" i="3"/>
  <c r="AO50" i="3"/>
  <c r="AQ50" i="3"/>
  <c r="AS50" i="3"/>
  <c r="AT50" i="3"/>
  <c r="AY50" i="3"/>
  <c r="BB50" i="3"/>
  <c r="AE51" i="3"/>
  <c r="AG51" i="3"/>
  <c r="AL51" i="3"/>
  <c r="AO51" i="3"/>
  <c r="AP51" i="3"/>
  <c r="AQ51" i="3"/>
  <c r="AW51" i="3"/>
  <c r="AY51" i="3"/>
  <c r="BA51" i="3"/>
  <c r="BB51" i="3"/>
  <c r="AI52" i="3"/>
  <c r="AL52" i="3"/>
  <c r="AM52" i="3"/>
  <c r="AO52" i="3"/>
  <c r="AT52" i="3"/>
  <c r="AW52" i="3"/>
  <c r="AX52" i="3"/>
  <c r="AY52" i="3"/>
  <c r="AG53" i="3"/>
  <c r="AI53" i="3"/>
  <c r="AK53" i="3"/>
  <c r="AL53" i="3"/>
  <c r="AQ53" i="3"/>
  <c r="AT53" i="3"/>
  <c r="AU53" i="3"/>
  <c r="AW53" i="3"/>
  <c r="BB53" i="3"/>
  <c r="AG54" i="3"/>
  <c r="AH54" i="3"/>
  <c r="AI54" i="3"/>
  <c r="AO54" i="3"/>
  <c r="AQ54" i="3"/>
  <c r="AS54" i="3"/>
  <c r="AT54" i="3"/>
  <c r="AY54" i="3"/>
  <c r="BB54" i="3"/>
  <c r="AE55" i="3"/>
  <c r="AG55" i="3"/>
  <c r="AL55" i="3"/>
  <c r="AO55" i="3"/>
  <c r="AP55" i="3"/>
  <c r="AQ55" i="3"/>
  <c r="AW55" i="3"/>
  <c r="AY55" i="3"/>
  <c r="BA55" i="3"/>
  <c r="BB55" i="3"/>
  <c r="AI56" i="3"/>
  <c r="AL56" i="3"/>
  <c r="AM56" i="3"/>
  <c r="AO56" i="3"/>
  <c r="AT56" i="3"/>
  <c r="AW56" i="3"/>
  <c r="AX56" i="3"/>
  <c r="AY56" i="3"/>
  <c r="AG57" i="3"/>
  <c r="AI57" i="3"/>
  <c r="AK57" i="3"/>
  <c r="AL57" i="3"/>
  <c r="AQ57" i="3"/>
  <c r="AT57" i="3"/>
  <c r="AU57" i="3"/>
  <c r="AW57" i="3"/>
  <c r="BB57" i="3"/>
  <c r="AG58" i="3"/>
  <c r="AH58" i="3"/>
  <c r="AI58" i="3"/>
  <c r="AO58" i="3"/>
  <c r="AQ58" i="3"/>
  <c r="AS58" i="3"/>
  <c r="AT58" i="3"/>
  <c r="AX58" i="3"/>
  <c r="AZ58" i="3"/>
  <c r="BA58" i="3"/>
  <c r="BB58" i="3"/>
  <c r="AH59" i="3"/>
  <c r="AJ59" i="3"/>
  <c r="AK59" i="3"/>
  <c r="AL59" i="3"/>
  <c r="AP59" i="3"/>
  <c r="AR59" i="3"/>
  <c r="AS59" i="3"/>
  <c r="AT59" i="3"/>
  <c r="AX59" i="3"/>
  <c r="AZ59" i="3"/>
  <c r="BA59" i="3"/>
  <c r="BB59" i="3"/>
  <c r="AH60" i="3"/>
  <c r="AJ60" i="3"/>
  <c r="AK60" i="3"/>
  <c r="AL60" i="3"/>
  <c r="AP60" i="3"/>
  <c r="AR60" i="3"/>
  <c r="AS60" i="3"/>
  <c r="AT60" i="3"/>
  <c r="AX60" i="3"/>
  <c r="AZ60" i="3"/>
  <c r="BA60" i="3"/>
  <c r="BB60" i="3"/>
  <c r="AH61" i="3"/>
  <c r="AJ61" i="3"/>
  <c r="AK61" i="3"/>
  <c r="AL61" i="3"/>
  <c r="AP61" i="3"/>
  <c r="AR61" i="3"/>
  <c r="AS61" i="3"/>
  <c r="AT61" i="3"/>
  <c r="AX61" i="3"/>
  <c r="AZ61" i="3"/>
  <c r="BA61" i="3"/>
  <c r="BB61" i="3"/>
  <c r="AH62" i="3"/>
  <c r="AJ62" i="3"/>
  <c r="AK62" i="3"/>
  <c r="AL62" i="3"/>
  <c r="AP62" i="3"/>
  <c r="AR62" i="3"/>
  <c r="AS62" i="3"/>
  <c r="AT62" i="3"/>
  <c r="AX62" i="3"/>
  <c r="AZ62" i="3"/>
  <c r="BA62" i="3"/>
  <c r="BB62" i="3"/>
  <c r="AH63" i="3"/>
  <c r="AJ63" i="3"/>
  <c r="AK63" i="3"/>
  <c r="AL63" i="3"/>
  <c r="AP63" i="3"/>
  <c r="AR63" i="3"/>
  <c r="AS63" i="3"/>
  <c r="AT63" i="3"/>
  <c r="AX63" i="3"/>
  <c r="AZ63" i="3"/>
  <c r="BA63" i="3"/>
  <c r="BB63" i="3"/>
  <c r="AH64" i="3"/>
  <c r="AJ64" i="3"/>
  <c r="AK64" i="3"/>
  <c r="AL64" i="3"/>
  <c r="AP64" i="3"/>
  <c r="AR64" i="3"/>
  <c r="AS64" i="3"/>
  <c r="AT64" i="3"/>
  <c r="AX64" i="3"/>
  <c r="AZ64" i="3"/>
  <c r="BA64" i="3"/>
  <c r="BB64" i="3"/>
  <c r="AH65" i="3"/>
  <c r="AI65" i="3"/>
  <c r="AJ65" i="3"/>
  <c r="AK65" i="3"/>
  <c r="AL65" i="3"/>
  <c r="AO65" i="3"/>
  <c r="AP65" i="3"/>
  <c r="AQ65" i="3"/>
  <c r="AR65" i="3"/>
  <c r="AS65" i="3"/>
  <c r="AT65" i="3"/>
  <c r="AU65" i="3"/>
  <c r="AW65" i="3"/>
  <c r="AX65" i="3"/>
  <c r="AY65" i="3"/>
  <c r="AZ65" i="3"/>
  <c r="BA65" i="3"/>
  <c r="BB65" i="3"/>
  <c r="AE66" i="3"/>
  <c r="AG66" i="3"/>
  <c r="AH66" i="3"/>
  <c r="AI66" i="3"/>
  <c r="AJ66" i="3"/>
  <c r="AK66" i="3"/>
  <c r="AL66" i="3"/>
  <c r="AM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AZ74" i="3"/>
  <c r="BA74" i="3"/>
  <c r="BB74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AZ75" i="3"/>
  <c r="BA75" i="3"/>
  <c r="BB75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AZ76" i="3"/>
  <c r="BA76" i="3"/>
  <c r="BB76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AZ77" i="3"/>
  <c r="BA77" i="3"/>
  <c r="BB77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AZ78" i="3"/>
  <c r="BA78" i="3"/>
  <c r="BB78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AZ79" i="3"/>
  <c r="BA79" i="3"/>
  <c r="BB79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AZ80" i="3"/>
  <c r="BA80" i="3"/>
  <c r="BB80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AZ81" i="3"/>
  <c r="BA81" i="3"/>
  <c r="BB81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AZ82" i="3"/>
  <c r="BA82" i="3"/>
  <c r="BB82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AZ83" i="3"/>
  <c r="BA83" i="3"/>
  <c r="BB83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AZ84" i="3"/>
  <c r="BA84" i="3"/>
  <c r="BB84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AZ85" i="3"/>
  <c r="BA85" i="3"/>
  <c r="BB85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AZ87" i="3"/>
  <c r="BA87" i="3"/>
  <c r="BB87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AZ88" i="3"/>
  <c r="BA88" i="3"/>
  <c r="BB88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AZ89" i="3"/>
  <c r="BA89" i="3"/>
  <c r="BB89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AZ90" i="3"/>
  <c r="BA90" i="3"/>
  <c r="BB90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AZ91" i="3"/>
  <c r="BA91" i="3"/>
  <c r="BB91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AZ92" i="3"/>
  <c r="BA92" i="3"/>
  <c r="BB92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AZ93" i="3"/>
  <c r="BA93" i="3"/>
  <c r="BB93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AZ94" i="3"/>
  <c r="BA94" i="3"/>
  <c r="BB94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AZ95" i="3"/>
  <c r="BA95" i="3"/>
  <c r="BB95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AZ97" i="3"/>
  <c r="BA97" i="3"/>
  <c r="BB97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AZ98" i="3"/>
  <c r="BA98" i="3"/>
  <c r="BB98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AZ99" i="3"/>
  <c r="BA99" i="3"/>
  <c r="BB99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AZ100" i="3"/>
  <c r="BA100" i="3"/>
  <c r="BB100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AZ101" i="3"/>
  <c r="BA101" i="3"/>
  <c r="BB101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AZ103" i="3"/>
  <c r="BA103" i="3"/>
  <c r="BB103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AZ104" i="3"/>
  <c r="BA104" i="3"/>
  <c r="BB104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AZ105" i="3"/>
  <c r="BA105" i="3"/>
  <c r="BB105" i="3"/>
  <c r="C7" i="3" a="1"/>
  <c r="J45" i="3" s="1"/>
  <c r="R102" i="3" l="1"/>
  <c r="F87" i="3"/>
  <c r="Z105" i="3"/>
  <c r="Q104" i="3"/>
  <c r="H103" i="3"/>
  <c r="J101" i="3"/>
  <c r="AD98" i="3"/>
  <c r="T94" i="3"/>
  <c r="D90" i="3"/>
  <c r="E84" i="3"/>
  <c r="F78" i="3"/>
  <c r="U70" i="3"/>
  <c r="S57" i="3"/>
  <c r="G100" i="3"/>
  <c r="C86" i="3"/>
  <c r="X61" i="3"/>
  <c r="X104" i="3"/>
  <c r="Z101" i="3"/>
  <c r="K98" i="3"/>
  <c r="O91" i="3"/>
  <c r="W85" i="3"/>
  <c r="D78" i="3"/>
  <c r="N65" i="3"/>
  <c r="D104" i="3"/>
  <c r="O102" i="3"/>
  <c r="X101" i="3"/>
  <c r="O101" i="3"/>
  <c r="F101" i="3"/>
  <c r="Y100" i="3"/>
  <c r="O100" i="3"/>
  <c r="D100" i="3"/>
  <c r="V99" i="3"/>
  <c r="J99" i="3"/>
  <c r="Z98" i="3"/>
  <c r="J98" i="3"/>
  <c r="O97" i="3"/>
  <c r="T96" i="3"/>
  <c r="AD95" i="3"/>
  <c r="G95" i="3"/>
  <c r="L94" i="3"/>
  <c r="V93" i="3"/>
  <c r="AA92" i="3"/>
  <c r="D92" i="3"/>
  <c r="N91" i="3"/>
  <c r="S90" i="3"/>
  <c r="X89" i="3"/>
  <c r="F89" i="3"/>
  <c r="K88" i="3"/>
  <c r="P87" i="3"/>
  <c r="X86" i="3"/>
  <c r="V85" i="3"/>
  <c r="S84" i="3"/>
  <c r="W83" i="3"/>
  <c r="T82" i="3"/>
  <c r="N81" i="3"/>
  <c r="L80" i="3"/>
  <c r="AD78" i="3"/>
  <c r="V77" i="3"/>
  <c r="P76" i="3"/>
  <c r="M74" i="3"/>
  <c r="Z71" i="3"/>
  <c r="V69" i="3"/>
  <c r="G65" i="3"/>
  <c r="N60" i="3"/>
  <c r="D55" i="3"/>
  <c r="T45" i="3"/>
  <c r="P105" i="3"/>
  <c r="AA103" i="3"/>
  <c r="I102" i="3"/>
  <c r="AB100" i="3"/>
  <c r="O99" i="3"/>
  <c r="W97" i="3"/>
  <c r="O95" i="3"/>
  <c r="G93" i="3"/>
  <c r="V91" i="3"/>
  <c r="N89" i="3"/>
  <c r="D86" i="3"/>
  <c r="AD82" i="3"/>
  <c r="P79" i="3"/>
  <c r="X72" i="3"/>
  <c r="R49" i="3"/>
  <c r="Y104" i="3"/>
  <c r="G104" i="3"/>
  <c r="P103" i="3"/>
  <c r="H102" i="3"/>
  <c r="H101" i="3"/>
  <c r="R100" i="3"/>
  <c r="AB98" i="3"/>
  <c r="V97" i="3"/>
  <c r="N95" i="3"/>
  <c r="X93" i="3"/>
  <c r="P91" i="3"/>
  <c r="C90" i="3"/>
  <c r="R88" i="3"/>
  <c r="Y83" i="3"/>
  <c r="X81" i="3"/>
  <c r="O79" i="3"/>
  <c r="U76" i="3"/>
  <c r="T66" i="3"/>
  <c r="AD48" i="3"/>
  <c r="N105" i="3"/>
  <c r="O104" i="3"/>
  <c r="X103" i="3"/>
  <c r="P102" i="3"/>
  <c r="G101" i="3"/>
  <c r="Q100" i="3"/>
  <c r="M99" i="3"/>
  <c r="P97" i="3"/>
  <c r="R94" i="3"/>
  <c r="J92" i="3"/>
  <c r="T90" i="3"/>
  <c r="V87" i="3"/>
  <c r="AA84" i="3"/>
  <c r="M80" i="3"/>
  <c r="Q76" i="3"/>
  <c r="W61" i="3"/>
  <c r="W104" i="3"/>
  <c r="E103" i="3"/>
  <c r="F102" i="3"/>
  <c r="AD105" i="3"/>
  <c r="U105" i="3"/>
  <c r="L105" i="3"/>
  <c r="C105" i="3"/>
  <c r="V104" i="3"/>
  <c r="L104" i="3"/>
  <c r="C104" i="3"/>
  <c r="V103" i="3"/>
  <c r="M103" i="3"/>
  <c r="D103" i="3"/>
  <c r="W102" i="3"/>
  <c r="N102" i="3"/>
  <c r="D102" i="3"/>
  <c r="W101" i="3"/>
  <c r="N101" i="3"/>
  <c r="E101" i="3"/>
  <c r="X100" i="3"/>
  <c r="N100" i="3"/>
  <c r="C100" i="3"/>
  <c r="U99" i="3"/>
  <c r="H99" i="3"/>
  <c r="Y98" i="3"/>
  <c r="D98" i="3"/>
  <c r="N97" i="3"/>
  <c r="S96" i="3"/>
  <c r="X95" i="3"/>
  <c r="F95" i="3"/>
  <c r="K94" i="3"/>
  <c r="P93" i="3"/>
  <c r="Z92" i="3"/>
  <c r="C92" i="3"/>
  <c r="H91" i="3"/>
  <c r="R90" i="3"/>
  <c r="W89" i="3"/>
  <c r="AB88" i="3"/>
  <c r="J88" i="3"/>
  <c r="O87" i="3"/>
  <c r="P86" i="3"/>
  <c r="T85" i="3"/>
  <c r="R84" i="3"/>
  <c r="O83" i="3"/>
  <c r="S82" i="3"/>
  <c r="J81" i="3"/>
  <c r="C80" i="3"/>
  <c r="AC78" i="3"/>
  <c r="U77" i="3"/>
  <c r="E76" i="3"/>
  <c r="L74" i="3"/>
  <c r="T71" i="3"/>
  <c r="R68" i="3"/>
  <c r="Z64" i="3"/>
  <c r="C60" i="3"/>
  <c r="H53" i="3"/>
  <c r="C7" i="3"/>
  <c r="F7" i="3"/>
  <c r="U8" i="3"/>
  <c r="F10" i="3"/>
  <c r="V11" i="3"/>
  <c r="I13" i="3"/>
  <c r="V14" i="3"/>
  <c r="J16" i="3"/>
  <c r="V17" i="3"/>
  <c r="AC18" i="3"/>
  <c r="E20" i="3"/>
  <c r="N21" i="3"/>
  <c r="R22" i="3"/>
  <c r="Y23" i="3"/>
  <c r="AD24" i="3"/>
  <c r="F26" i="3"/>
  <c r="Q27" i="3"/>
  <c r="U28" i="3"/>
  <c r="Z29" i="3"/>
  <c r="F31" i="3"/>
  <c r="T31" i="3"/>
  <c r="F32" i="3"/>
  <c r="R32" i="3"/>
  <c r="C33" i="3"/>
  <c r="P33" i="3"/>
  <c r="AB33" i="3"/>
  <c r="N34" i="3"/>
  <c r="Z34" i="3"/>
  <c r="K35" i="3"/>
  <c r="X35" i="3"/>
  <c r="H36" i="3"/>
  <c r="V36" i="3"/>
  <c r="F37" i="3"/>
  <c r="S37" i="3"/>
  <c r="D38" i="3"/>
  <c r="P38" i="3"/>
  <c r="AD38" i="3"/>
  <c r="N39" i="3"/>
  <c r="AA39" i="3"/>
  <c r="L40" i="3"/>
  <c r="X40" i="3"/>
  <c r="J41" i="3"/>
  <c r="V41" i="3"/>
  <c r="G42" i="3"/>
  <c r="T42" i="3"/>
  <c r="D43" i="3"/>
  <c r="R43" i="3"/>
  <c r="AD43" i="3"/>
  <c r="O44" i="3"/>
  <c r="AB44" i="3"/>
  <c r="L45" i="3"/>
  <c r="Z45" i="3"/>
  <c r="J46" i="3"/>
  <c r="W46" i="3"/>
  <c r="H47" i="3"/>
  <c r="T47" i="3"/>
  <c r="F48" i="3"/>
  <c r="R48" i="3"/>
  <c r="C49" i="3"/>
  <c r="P49" i="3"/>
  <c r="AB49" i="3"/>
  <c r="N50" i="3"/>
  <c r="Z50" i="3"/>
  <c r="K51" i="3"/>
  <c r="X51" i="3"/>
  <c r="H52" i="3"/>
  <c r="V52" i="3"/>
  <c r="F53" i="3"/>
  <c r="S53" i="3"/>
  <c r="D54" i="3"/>
  <c r="P54" i="3"/>
  <c r="AD54" i="3"/>
  <c r="N55" i="3"/>
  <c r="AA55" i="3"/>
  <c r="L56" i="3"/>
  <c r="X56" i="3"/>
  <c r="J57" i="3"/>
  <c r="T57" i="3"/>
  <c r="C58" i="3"/>
  <c r="N58" i="3"/>
  <c r="X58" i="3"/>
  <c r="G59" i="3"/>
  <c r="R59" i="3"/>
  <c r="AB59" i="3"/>
  <c r="K60" i="3"/>
  <c r="V60" i="3"/>
  <c r="J7" i="3"/>
  <c r="Z8" i="3"/>
  <c r="M10" i="3"/>
  <c r="Z11" i="3"/>
  <c r="N13" i="3"/>
  <c r="AC14" i="3"/>
  <c r="N16" i="3"/>
  <c r="Y17" i="3"/>
  <c r="F19" i="3"/>
  <c r="J20" i="3"/>
  <c r="Q21" i="3"/>
  <c r="V22" i="3"/>
  <c r="Z23" i="3"/>
  <c r="I25" i="3"/>
  <c r="M26" i="3"/>
  <c r="R27" i="3"/>
  <c r="Z28" i="3"/>
  <c r="AD29" i="3"/>
  <c r="J31" i="3"/>
  <c r="V31" i="3"/>
  <c r="G32" i="3"/>
  <c r="T32" i="3"/>
  <c r="D33" i="3"/>
  <c r="R33" i="3"/>
  <c r="AD33" i="3"/>
  <c r="O34" i="3"/>
  <c r="AB34" i="3"/>
  <c r="L35" i="3"/>
  <c r="Z35" i="3"/>
  <c r="J36" i="3"/>
  <c r="W36" i="3"/>
  <c r="H37" i="3"/>
  <c r="T37" i="3"/>
  <c r="F38" i="3"/>
  <c r="R38" i="3"/>
  <c r="C39" i="3"/>
  <c r="P39" i="3"/>
  <c r="AB39" i="3"/>
  <c r="N40" i="3"/>
  <c r="Z40" i="3"/>
  <c r="K41" i="3"/>
  <c r="X41" i="3"/>
  <c r="H42" i="3"/>
  <c r="V42" i="3"/>
  <c r="F43" i="3"/>
  <c r="S43" i="3"/>
  <c r="D44" i="3"/>
  <c r="P44" i="3"/>
  <c r="V7" i="3"/>
  <c r="I9" i="3"/>
  <c r="V10" i="3"/>
  <c r="J12" i="3"/>
  <c r="Y13" i="3"/>
  <c r="J15" i="3"/>
  <c r="Z16" i="3"/>
  <c r="AD17" i="3"/>
  <c r="I19" i="3"/>
  <c r="N20" i="3"/>
  <c r="R21" i="3"/>
  <c r="AC22" i="3"/>
  <c r="E24" i="3"/>
  <c r="J25" i="3"/>
  <c r="R26" i="3"/>
  <c r="V27" i="3"/>
  <c r="AD28" i="3"/>
  <c r="F30" i="3"/>
  <c r="K31" i="3"/>
  <c r="X31" i="3"/>
  <c r="H32" i="3"/>
  <c r="V32" i="3"/>
  <c r="F33" i="3"/>
  <c r="S33" i="3"/>
  <c r="D34" i="3"/>
  <c r="P34" i="3"/>
  <c r="AD34" i="3"/>
  <c r="N35" i="3"/>
  <c r="AA35" i="3"/>
  <c r="L36" i="3"/>
  <c r="X36" i="3"/>
  <c r="J37" i="3"/>
  <c r="V37" i="3"/>
  <c r="G38" i="3"/>
  <c r="T38" i="3"/>
  <c r="D39" i="3"/>
  <c r="R39" i="3"/>
  <c r="AD39" i="3"/>
  <c r="O40" i="3"/>
  <c r="AB40" i="3"/>
  <c r="L41" i="3"/>
  <c r="Z41" i="3"/>
  <c r="J42" i="3"/>
  <c r="W42" i="3"/>
  <c r="H43" i="3"/>
  <c r="T43" i="3"/>
  <c r="F44" i="3"/>
  <c r="Y7" i="3"/>
  <c r="J9" i="3"/>
  <c r="Z10" i="3"/>
  <c r="M12" i="3"/>
  <c r="Z13" i="3"/>
  <c r="N15" i="3"/>
  <c r="AC16" i="3"/>
  <c r="F18" i="3"/>
  <c r="J19" i="3"/>
  <c r="U20" i="3"/>
  <c r="Y21" i="3"/>
  <c r="AD22" i="3"/>
  <c r="J24" i="3"/>
  <c r="N25" i="3"/>
  <c r="V26" i="3"/>
  <c r="Z27" i="3"/>
  <c r="F29" i="3"/>
  <c r="M30" i="3"/>
  <c r="L31" i="3"/>
  <c r="Z31" i="3"/>
  <c r="J32" i="3"/>
  <c r="W32" i="3"/>
  <c r="H33" i="3"/>
  <c r="T33" i="3"/>
  <c r="F34" i="3"/>
  <c r="R34" i="3"/>
  <c r="C35" i="3"/>
  <c r="P35" i="3"/>
  <c r="AB35" i="3"/>
  <c r="N36" i="3"/>
  <c r="Z36" i="3"/>
  <c r="K37" i="3"/>
  <c r="X37" i="3"/>
  <c r="H38" i="3"/>
  <c r="V38" i="3"/>
  <c r="F39" i="3"/>
  <c r="S39" i="3"/>
  <c r="D40" i="3"/>
  <c r="P40" i="3"/>
  <c r="AD40" i="3"/>
  <c r="N41" i="3"/>
  <c r="AA41" i="3"/>
  <c r="L42" i="3"/>
  <c r="X42" i="3"/>
  <c r="J43" i="3"/>
  <c r="V43" i="3"/>
  <c r="G44" i="3"/>
  <c r="T44" i="3"/>
  <c r="D45" i="3"/>
  <c r="R45" i="3"/>
  <c r="AD45" i="3"/>
  <c r="O46" i="3"/>
  <c r="AB46" i="3"/>
  <c r="L47" i="3"/>
  <c r="Z47" i="3"/>
  <c r="J48" i="3"/>
  <c r="W48" i="3"/>
  <c r="H49" i="3"/>
  <c r="T49" i="3"/>
  <c r="F50" i="3"/>
  <c r="R50" i="3"/>
  <c r="C51" i="3"/>
  <c r="P51" i="3"/>
  <c r="AB51" i="3"/>
  <c r="N52" i="3"/>
  <c r="Z52" i="3"/>
  <c r="K53" i="3"/>
  <c r="X53" i="3"/>
  <c r="H54" i="3"/>
  <c r="V54" i="3"/>
  <c r="F55" i="3"/>
  <c r="S55" i="3"/>
  <c r="D56" i="3"/>
  <c r="P56" i="3"/>
  <c r="AD56" i="3"/>
  <c r="N57" i="3"/>
  <c r="X57" i="3"/>
  <c r="G58" i="3"/>
  <c r="R58" i="3"/>
  <c r="AB58" i="3"/>
  <c r="K59" i="3"/>
  <c r="V59" i="3"/>
  <c r="D60" i="3"/>
  <c r="O60" i="3"/>
  <c r="Z60" i="3"/>
  <c r="Z7" i="3"/>
  <c r="N9" i="3"/>
  <c r="AC10" i="3"/>
  <c r="N12" i="3"/>
  <c r="AD13" i="3"/>
  <c r="Q15" i="3"/>
  <c r="AD16" i="3"/>
  <c r="M18" i="3"/>
  <c r="Q19" i="3"/>
  <c r="V20" i="3"/>
  <c r="AD21" i="3"/>
  <c r="F23" i="3"/>
  <c r="N24" i="3"/>
  <c r="R25" i="3"/>
  <c r="Z26" i="3"/>
  <c r="E28" i="3"/>
  <c r="I29" i="3"/>
  <c r="R30" i="3"/>
  <c r="N31" i="3"/>
  <c r="AA31" i="3"/>
  <c r="L32" i="3"/>
  <c r="X32" i="3"/>
  <c r="J33" i="3"/>
  <c r="V33" i="3"/>
  <c r="G34" i="3"/>
  <c r="T34" i="3"/>
  <c r="D35" i="3"/>
  <c r="R35" i="3"/>
  <c r="AD35" i="3"/>
  <c r="O36" i="3"/>
  <c r="AB36" i="3"/>
  <c r="L37" i="3"/>
  <c r="Z37" i="3"/>
  <c r="J38" i="3"/>
  <c r="W38" i="3"/>
  <c r="H39" i="3"/>
  <c r="T39" i="3"/>
  <c r="F40" i="3"/>
  <c r="R40" i="3"/>
  <c r="C41" i="3"/>
  <c r="P41" i="3"/>
  <c r="AB41" i="3"/>
  <c r="N42" i="3"/>
  <c r="Z42" i="3"/>
  <c r="K43" i="3"/>
  <c r="X43" i="3"/>
  <c r="H44" i="3"/>
  <c r="E8" i="3"/>
  <c r="R9" i="3"/>
  <c r="F11" i="3"/>
  <c r="U12" i="3"/>
  <c r="F14" i="3"/>
  <c r="V15" i="3"/>
  <c r="I17" i="3"/>
  <c r="N18" i="3"/>
  <c r="V19" i="3"/>
  <c r="Z20" i="3"/>
  <c r="F22" i="3"/>
  <c r="J23" i="3"/>
  <c r="R24" i="3"/>
  <c r="Y25" i="3"/>
  <c r="AC26" i="3"/>
  <c r="J28" i="3"/>
  <c r="N29" i="3"/>
  <c r="U30" i="3"/>
  <c r="P31" i="3"/>
  <c r="AB31" i="3"/>
  <c r="N32" i="3"/>
  <c r="Z32" i="3"/>
  <c r="K33" i="3"/>
  <c r="X33" i="3"/>
  <c r="H34" i="3"/>
  <c r="V34" i="3"/>
  <c r="F35" i="3"/>
  <c r="S35" i="3"/>
  <c r="D36" i="3"/>
  <c r="P36" i="3"/>
  <c r="AD36" i="3"/>
  <c r="N37" i="3"/>
  <c r="AA37" i="3"/>
  <c r="L38" i="3"/>
  <c r="X38" i="3"/>
  <c r="J39" i="3"/>
  <c r="V39" i="3"/>
  <c r="G40" i="3"/>
  <c r="T40" i="3"/>
  <c r="D41" i="3"/>
  <c r="R41" i="3"/>
  <c r="AD41" i="3"/>
  <c r="O42" i="3"/>
  <c r="AB42" i="3"/>
  <c r="L43" i="3"/>
  <c r="Z43" i="3"/>
  <c r="J44" i="3"/>
  <c r="N8" i="3"/>
  <c r="R14" i="3"/>
  <c r="Z19" i="3"/>
  <c r="U24" i="3"/>
  <c r="R29" i="3"/>
  <c r="O32" i="3"/>
  <c r="J34" i="3"/>
  <c r="F36" i="3"/>
  <c r="AB37" i="3"/>
  <c r="X39" i="3"/>
  <c r="S41" i="3"/>
  <c r="N43" i="3"/>
  <c r="W44" i="3"/>
  <c r="K45" i="3"/>
  <c r="AB45" i="3"/>
  <c r="R46" i="3"/>
  <c r="F47" i="3"/>
  <c r="R8" i="3"/>
  <c r="U14" i="3"/>
  <c r="AD19" i="3"/>
  <c r="Z24" i="3"/>
  <c r="Y29" i="3"/>
  <c r="P32" i="3"/>
  <c r="L34" i="3"/>
  <c r="G36" i="3"/>
  <c r="AD37" i="3"/>
  <c r="Z39" i="3"/>
  <c r="T41" i="3"/>
  <c r="P43" i="3"/>
  <c r="X44" i="3"/>
  <c r="N45" i="3"/>
  <c r="D46" i="3"/>
  <c r="T46" i="3"/>
  <c r="J47" i="3"/>
  <c r="AA47" i="3"/>
  <c r="O48" i="3"/>
  <c r="D49" i="3"/>
  <c r="V49" i="3"/>
  <c r="J50" i="3"/>
  <c r="AB50" i="3"/>
  <c r="R51" i="3"/>
  <c r="F52" i="3"/>
  <c r="W52" i="3"/>
  <c r="L53" i="3"/>
  <c r="AB53" i="3"/>
  <c r="R54" i="3"/>
  <c r="H55" i="3"/>
  <c r="X55" i="3"/>
  <c r="N56" i="3"/>
  <c r="C57" i="3"/>
  <c r="R57" i="3"/>
  <c r="D58" i="3"/>
  <c r="S58" i="3"/>
  <c r="D59" i="3"/>
  <c r="S59" i="3"/>
  <c r="F60" i="3"/>
  <c r="S60" i="3"/>
  <c r="D61" i="3"/>
  <c r="O61" i="3"/>
  <c r="Z61" i="3"/>
  <c r="H62" i="3"/>
  <c r="S62" i="3"/>
  <c r="AD62" i="3"/>
  <c r="L63" i="3"/>
  <c r="W63" i="3"/>
  <c r="F64" i="3"/>
  <c r="P64" i="3"/>
  <c r="AA64" i="3"/>
  <c r="J65" i="3"/>
  <c r="T65" i="3"/>
  <c r="C66" i="3"/>
  <c r="N66" i="3"/>
  <c r="X66" i="3"/>
  <c r="G67" i="3"/>
  <c r="R67" i="3"/>
  <c r="AB67" i="3"/>
  <c r="K68" i="3"/>
  <c r="V68" i="3"/>
  <c r="D69" i="3"/>
  <c r="O69" i="3"/>
  <c r="Z69" i="3"/>
  <c r="G70" i="3"/>
  <c r="O70" i="3"/>
  <c r="W70" i="3"/>
  <c r="C71" i="3"/>
  <c r="K71" i="3"/>
  <c r="S71" i="3"/>
  <c r="AA71" i="3"/>
  <c r="G72" i="3"/>
  <c r="O72" i="3"/>
  <c r="W72" i="3"/>
  <c r="C73" i="3"/>
  <c r="K73" i="3"/>
  <c r="S73" i="3"/>
  <c r="AA73" i="3"/>
  <c r="G74" i="3"/>
  <c r="O74" i="3"/>
  <c r="W74" i="3"/>
  <c r="C75" i="3"/>
  <c r="K75" i="3"/>
  <c r="S75" i="3"/>
  <c r="AA75" i="3"/>
  <c r="G76" i="3"/>
  <c r="O76" i="3"/>
  <c r="W76" i="3"/>
  <c r="C77" i="3"/>
  <c r="K77" i="3"/>
  <c r="S77" i="3"/>
  <c r="AA77" i="3"/>
  <c r="AD9" i="3"/>
  <c r="E16" i="3"/>
  <c r="AD20" i="3"/>
  <c r="AD25" i="3"/>
  <c r="V30" i="3"/>
  <c r="AB32" i="3"/>
  <c r="W34" i="3"/>
  <c r="R36" i="3"/>
  <c r="N38" i="3"/>
  <c r="H40" i="3"/>
  <c r="D42" i="3"/>
  <c r="AA43" i="3"/>
  <c r="Z44" i="3"/>
  <c r="P45" i="3"/>
  <c r="F46" i="3"/>
  <c r="V46" i="3"/>
  <c r="K47" i="3"/>
  <c r="AB47" i="3"/>
  <c r="P48" i="3"/>
  <c r="F49" i="3"/>
  <c r="X49" i="3"/>
  <c r="L50" i="3"/>
  <c r="AD50" i="3"/>
  <c r="S51" i="3"/>
  <c r="G52" i="3"/>
  <c r="X52" i="3"/>
  <c r="E10" i="3"/>
  <c r="F16" i="3"/>
  <c r="I21" i="3"/>
  <c r="E26" i="3"/>
  <c r="AC30" i="3"/>
  <c r="AD32" i="3"/>
  <c r="X34" i="3"/>
  <c r="T36" i="3"/>
  <c r="O38" i="3"/>
  <c r="J40" i="3"/>
  <c r="F42" i="3"/>
  <c r="AB43" i="3"/>
  <c r="AD44" i="3"/>
  <c r="S45" i="3"/>
  <c r="G46" i="3"/>
  <c r="X46" i="3"/>
  <c r="N47" i="3"/>
  <c r="AD47" i="3"/>
  <c r="T48" i="3"/>
  <c r="J49" i="3"/>
  <c r="Z49" i="3"/>
  <c r="O50" i="3"/>
  <c r="D51" i="3"/>
  <c r="T51" i="3"/>
  <c r="J52" i="3"/>
  <c r="AB52" i="3"/>
  <c r="P53" i="3"/>
  <c r="F54" i="3"/>
  <c r="W54" i="3"/>
  <c r="K55" i="3"/>
  <c r="AB55" i="3"/>
  <c r="R56" i="3"/>
  <c r="F57" i="3"/>
  <c r="V57" i="3"/>
  <c r="H58" i="3"/>
  <c r="V58" i="3"/>
  <c r="H59" i="3"/>
  <c r="W59" i="3"/>
  <c r="H60" i="3"/>
  <c r="W60" i="3"/>
  <c r="G61" i="3"/>
  <c r="R61" i="3"/>
  <c r="AB61" i="3"/>
  <c r="K62" i="3"/>
  <c r="V62" i="3"/>
  <c r="D63" i="3"/>
  <c r="O63" i="3"/>
  <c r="Z63" i="3"/>
  <c r="H64" i="3"/>
  <c r="S64" i="3"/>
  <c r="AD64" i="3"/>
  <c r="L65" i="3"/>
  <c r="W65" i="3"/>
  <c r="F66" i="3"/>
  <c r="P66" i="3"/>
  <c r="AA66" i="3"/>
  <c r="J67" i="3"/>
  <c r="T67" i="3"/>
  <c r="C68" i="3"/>
  <c r="N68" i="3"/>
  <c r="X68" i="3"/>
  <c r="G69" i="3"/>
  <c r="R69" i="3"/>
  <c r="AB69" i="3"/>
  <c r="I70" i="3"/>
  <c r="Q70" i="3"/>
  <c r="Y70" i="3"/>
  <c r="E71" i="3"/>
  <c r="M71" i="3"/>
  <c r="U71" i="3"/>
  <c r="AC71" i="3"/>
  <c r="I72" i="3"/>
  <c r="Q72" i="3"/>
  <c r="Y72" i="3"/>
  <c r="E73" i="3"/>
  <c r="M73" i="3"/>
  <c r="U73" i="3"/>
  <c r="AC73" i="3"/>
  <c r="I74" i="3"/>
  <c r="Q74" i="3"/>
  <c r="Y74" i="3"/>
  <c r="E75" i="3"/>
  <c r="M75" i="3"/>
  <c r="U75" i="3"/>
  <c r="AC75" i="3"/>
  <c r="R11" i="3"/>
  <c r="R17" i="3"/>
  <c r="M22" i="3"/>
  <c r="J27" i="3"/>
  <c r="S31" i="3"/>
  <c r="N33" i="3"/>
  <c r="J35" i="3"/>
  <c r="D37" i="3"/>
  <c r="AB38" i="3"/>
  <c r="W40" i="3"/>
  <c r="R42" i="3"/>
  <c r="N44" i="3"/>
  <c r="F45" i="3"/>
  <c r="V45" i="3"/>
  <c r="L46" i="3"/>
  <c r="AD46" i="3"/>
  <c r="R47" i="3"/>
  <c r="G48" i="3"/>
  <c r="X48" i="3"/>
  <c r="L49" i="3"/>
  <c r="AD49" i="3"/>
  <c r="T50" i="3"/>
  <c r="H51" i="3"/>
  <c r="Z51" i="3"/>
  <c r="O52" i="3"/>
  <c r="C53" i="3"/>
  <c r="T53" i="3"/>
  <c r="J54" i="3"/>
  <c r="Z54" i="3"/>
  <c r="P55" i="3"/>
  <c r="F56" i="3"/>
  <c r="V56" i="3"/>
  <c r="K57" i="3"/>
  <c r="Z57" i="3"/>
  <c r="K58" i="3"/>
  <c r="Z58" i="3"/>
  <c r="L59" i="3"/>
  <c r="Z59" i="3"/>
  <c r="L60" i="3"/>
  <c r="AA60" i="3"/>
  <c r="J61" i="3"/>
  <c r="T61" i="3"/>
  <c r="C62" i="3"/>
  <c r="N62" i="3"/>
  <c r="X62" i="3"/>
  <c r="G63" i="3"/>
  <c r="R63" i="3"/>
  <c r="AB63" i="3"/>
  <c r="K64" i="3"/>
  <c r="V64" i="3"/>
  <c r="D65" i="3"/>
  <c r="O65" i="3"/>
  <c r="Z65" i="3"/>
  <c r="H66" i="3"/>
  <c r="S66" i="3"/>
  <c r="AD66" i="3"/>
  <c r="L67" i="3"/>
  <c r="W67" i="3"/>
  <c r="F68" i="3"/>
  <c r="P68" i="3"/>
  <c r="AA68" i="3"/>
  <c r="J69" i="3"/>
  <c r="T69" i="3"/>
  <c r="C70" i="3"/>
  <c r="K70" i="3"/>
  <c r="S70" i="3"/>
  <c r="AA70" i="3"/>
  <c r="G71" i="3"/>
  <c r="O71" i="3"/>
  <c r="W71" i="3"/>
  <c r="C72" i="3"/>
  <c r="K72" i="3"/>
  <c r="S72" i="3"/>
  <c r="AA72" i="3"/>
  <c r="G73" i="3"/>
  <c r="O73" i="3"/>
  <c r="W73" i="3"/>
  <c r="C74" i="3"/>
  <c r="K74" i="3"/>
  <c r="S74" i="3"/>
  <c r="AA74" i="3"/>
  <c r="G75" i="3"/>
  <c r="O75" i="3"/>
  <c r="W75" i="3"/>
  <c r="C76" i="3"/>
  <c r="Q11" i="3"/>
  <c r="V23" i="3"/>
  <c r="Z33" i="3"/>
  <c r="Z38" i="3"/>
  <c r="C43" i="3"/>
  <c r="X45" i="3"/>
  <c r="P47" i="3"/>
  <c r="V48" i="3"/>
  <c r="AA49" i="3"/>
  <c r="F51" i="3"/>
  <c r="L52" i="3"/>
  <c r="N53" i="3"/>
  <c r="N54" i="3"/>
  <c r="L55" i="3"/>
  <c r="J56" i="3"/>
  <c r="L57" i="3"/>
  <c r="F58" i="3"/>
  <c r="AD58" i="3"/>
  <c r="X59" i="3"/>
  <c r="R60" i="3"/>
  <c r="K61" i="3"/>
  <c r="AA61" i="3"/>
  <c r="P62" i="3"/>
  <c r="F63" i="3"/>
  <c r="V63" i="3"/>
  <c r="L64" i="3"/>
  <c r="AB64" i="3"/>
  <c r="R65" i="3"/>
  <c r="G66" i="3"/>
  <c r="W66" i="3"/>
  <c r="N67" i="3"/>
  <c r="AD67" i="3"/>
  <c r="S68" i="3"/>
  <c r="H69" i="3"/>
  <c r="X69" i="3"/>
  <c r="L70" i="3"/>
  <c r="X70" i="3"/>
  <c r="I71" i="3"/>
  <c r="V71" i="3"/>
  <c r="F72" i="3"/>
  <c r="T72" i="3"/>
  <c r="D73" i="3"/>
  <c r="Q73" i="3"/>
  <c r="AD73" i="3"/>
  <c r="N74" i="3"/>
  <c r="AB74" i="3"/>
  <c r="L75" i="3"/>
  <c r="Y75" i="3"/>
  <c r="I76" i="3"/>
  <c r="R76" i="3"/>
  <c r="AA76" i="3"/>
  <c r="H77" i="3"/>
  <c r="Q77" i="3"/>
  <c r="Z77" i="3"/>
  <c r="G78" i="3"/>
  <c r="O78" i="3"/>
  <c r="W78" i="3"/>
  <c r="C79" i="3"/>
  <c r="K79" i="3"/>
  <c r="S79" i="3"/>
  <c r="AA79" i="3"/>
  <c r="G80" i="3"/>
  <c r="O80" i="3"/>
  <c r="W80" i="3"/>
  <c r="C81" i="3"/>
  <c r="K81" i="3"/>
  <c r="S81" i="3"/>
  <c r="AA81" i="3"/>
  <c r="G82" i="3"/>
  <c r="O82" i="3"/>
  <c r="W82" i="3"/>
  <c r="C83" i="3"/>
  <c r="K83" i="3"/>
  <c r="S83" i="3"/>
  <c r="AA83" i="3"/>
  <c r="G84" i="3"/>
  <c r="O84" i="3"/>
  <c r="W84" i="3"/>
  <c r="C85" i="3"/>
  <c r="K85" i="3"/>
  <c r="S85" i="3"/>
  <c r="AA85" i="3"/>
  <c r="G86" i="3"/>
  <c r="O86" i="3"/>
  <c r="W86" i="3"/>
  <c r="C87" i="3"/>
  <c r="AD12" i="3"/>
  <c r="F27" i="3"/>
  <c r="AA33" i="3"/>
  <c r="K39" i="3"/>
  <c r="L44" i="3"/>
  <c r="AA45" i="3"/>
  <c r="S47" i="3"/>
  <c r="Z48" i="3"/>
  <c r="D50" i="3"/>
  <c r="J51" i="3"/>
  <c r="P52" i="3"/>
  <c r="R53" i="3"/>
  <c r="O54" i="3"/>
  <c r="R55" i="3"/>
  <c r="O56" i="3"/>
  <c r="O57" i="3"/>
  <c r="J58" i="3"/>
  <c r="C59" i="3"/>
  <c r="AA59" i="3"/>
  <c r="T60" i="3"/>
  <c r="L61" i="3"/>
  <c r="AD61" i="3"/>
  <c r="R62" i="3"/>
  <c r="H63" i="3"/>
  <c r="X63" i="3"/>
  <c r="N64" i="3"/>
  <c r="C65" i="3"/>
  <c r="S65" i="3"/>
  <c r="J66" i="3"/>
  <c r="Z66" i="3"/>
  <c r="O67" i="3"/>
  <c r="D68" i="3"/>
  <c r="T68" i="3"/>
  <c r="K69" i="3"/>
  <c r="AA69" i="3"/>
  <c r="M70" i="3"/>
  <c r="Z70" i="3"/>
  <c r="J71" i="3"/>
  <c r="X71" i="3"/>
  <c r="H72" i="3"/>
  <c r="U72" i="3"/>
  <c r="F73" i="3"/>
  <c r="R73" i="3"/>
  <c r="D74" i="3"/>
  <c r="P74" i="3"/>
  <c r="AC74" i="3"/>
  <c r="N75" i="3"/>
  <c r="Z75" i="3"/>
  <c r="J76" i="3"/>
  <c r="S76" i="3"/>
  <c r="AB76" i="3"/>
  <c r="I77" i="3"/>
  <c r="R77" i="3"/>
  <c r="AB77" i="3"/>
  <c r="H78" i="3"/>
  <c r="P78" i="3"/>
  <c r="X78" i="3"/>
  <c r="D79" i="3"/>
  <c r="L79" i="3"/>
  <c r="T79" i="3"/>
  <c r="AB79" i="3"/>
  <c r="H80" i="3"/>
  <c r="P80" i="3"/>
  <c r="X80" i="3"/>
  <c r="D81" i="3"/>
  <c r="L81" i="3"/>
  <c r="T81" i="3"/>
  <c r="AB81" i="3"/>
  <c r="H82" i="3"/>
  <c r="F13" i="3"/>
  <c r="M28" i="3"/>
  <c r="H35" i="3"/>
  <c r="L39" i="3"/>
  <c r="R44" i="3"/>
  <c r="H46" i="3"/>
  <c r="V47" i="3"/>
  <c r="AB48" i="3"/>
  <c r="G50" i="3"/>
  <c r="L51" i="3"/>
  <c r="R52" i="3"/>
  <c r="V53" i="3"/>
  <c r="T54" i="3"/>
  <c r="T55" i="3"/>
  <c r="T56" i="3"/>
  <c r="P57" i="3"/>
  <c r="L58" i="3"/>
  <c r="F59" i="3"/>
  <c r="AD59" i="3"/>
  <c r="X60" i="3"/>
  <c r="N61" i="3"/>
  <c r="D62" i="3"/>
  <c r="T62" i="3"/>
  <c r="J63" i="3"/>
  <c r="AA63" i="3"/>
  <c r="O64" i="3"/>
  <c r="F65" i="3"/>
  <c r="V65" i="3"/>
  <c r="K66" i="3"/>
  <c r="AB66" i="3"/>
  <c r="P67" i="3"/>
  <c r="G68" i="3"/>
  <c r="W68" i="3"/>
  <c r="L69" i="3"/>
  <c r="AD69" i="3"/>
  <c r="N70" i="3"/>
  <c r="AB70" i="3"/>
  <c r="L71" i="3"/>
  <c r="Y71" i="3"/>
  <c r="J72" i="3"/>
  <c r="V72" i="3"/>
  <c r="H73" i="3"/>
  <c r="T73" i="3"/>
  <c r="E74" i="3"/>
  <c r="R74" i="3"/>
  <c r="AD74" i="3"/>
  <c r="P75" i="3"/>
  <c r="AB75" i="3"/>
  <c r="K76" i="3"/>
  <c r="T76" i="3"/>
  <c r="AC76" i="3"/>
  <c r="J77" i="3"/>
  <c r="T77" i="3"/>
  <c r="AC77" i="3"/>
  <c r="I78" i="3"/>
  <c r="Q78" i="3"/>
  <c r="Y78" i="3"/>
  <c r="E79" i="3"/>
  <c r="M79" i="3"/>
  <c r="U79" i="3"/>
  <c r="AC79" i="3"/>
  <c r="I80" i="3"/>
  <c r="Q80" i="3"/>
  <c r="Y80" i="3"/>
  <c r="E81" i="3"/>
  <c r="M81" i="3"/>
  <c r="U81" i="3"/>
  <c r="AC81" i="3"/>
  <c r="I82" i="3"/>
  <c r="Q82" i="3"/>
  <c r="Y82" i="3"/>
  <c r="E83" i="3"/>
  <c r="M83" i="3"/>
  <c r="U83" i="3"/>
  <c r="AC83" i="3"/>
  <c r="I84" i="3"/>
  <c r="Q84" i="3"/>
  <c r="Y84" i="3"/>
  <c r="E85" i="3"/>
  <c r="M85" i="3"/>
  <c r="U85" i="3"/>
  <c r="AC85" i="3"/>
  <c r="I86" i="3"/>
  <c r="Q86" i="3"/>
  <c r="Y86" i="3"/>
  <c r="R18" i="3"/>
  <c r="R31" i="3"/>
  <c r="V35" i="3"/>
  <c r="F41" i="3"/>
  <c r="C45" i="3"/>
  <c r="P46" i="3"/>
  <c r="D48" i="3"/>
  <c r="K49" i="3"/>
  <c r="P50" i="3"/>
  <c r="V51" i="3"/>
  <c r="AD52" i="3"/>
  <c r="AA53" i="3"/>
  <c r="AB54" i="3"/>
  <c r="Z55" i="3"/>
  <c r="Z56" i="3"/>
  <c r="W57" i="3"/>
  <c r="P58" i="3"/>
  <c r="N59" i="3"/>
  <c r="G60" i="3"/>
  <c r="AD60" i="3"/>
  <c r="S61" i="3"/>
  <c r="G62" i="3"/>
  <c r="Z62" i="3"/>
  <c r="N63" i="3"/>
  <c r="C64" i="3"/>
  <c r="T64" i="3"/>
  <c r="H65" i="3"/>
  <c r="AA65" i="3"/>
  <c r="O66" i="3"/>
  <c r="D67" i="3"/>
  <c r="V67" i="3"/>
  <c r="J68" i="3"/>
  <c r="AB68" i="3"/>
  <c r="P69" i="3"/>
  <c r="E70" i="3"/>
  <c r="R70" i="3"/>
  <c r="AD70" i="3"/>
  <c r="P71" i="3"/>
  <c r="AB71" i="3"/>
  <c r="M72" i="3"/>
  <c r="Z72" i="3"/>
  <c r="J73" i="3"/>
  <c r="X73" i="3"/>
  <c r="H74" i="3"/>
  <c r="U74" i="3"/>
  <c r="V18" i="3"/>
  <c r="AD31" i="3"/>
  <c r="C37" i="3"/>
  <c r="H41" i="3"/>
  <c r="H45" i="3"/>
  <c r="Z46" i="3"/>
  <c r="H48" i="3"/>
  <c r="N49" i="3"/>
  <c r="V50" i="3"/>
  <c r="AA51" i="3"/>
  <c r="D53" i="3"/>
  <c r="AD53" i="3"/>
  <c r="C55" i="3"/>
  <c r="AD55" i="3"/>
  <c r="AB56" i="3"/>
  <c r="AA57" i="3"/>
  <c r="T58" i="3"/>
  <c r="O59" i="3"/>
  <c r="J60" i="3"/>
  <c r="C61" i="3"/>
  <c r="V61" i="3"/>
  <c r="J62" i="3"/>
  <c r="AA62" i="3"/>
  <c r="P63" i="3"/>
  <c r="D64" i="3"/>
  <c r="W64" i="3"/>
  <c r="K65" i="3"/>
  <c r="AB65" i="3"/>
  <c r="R66" i="3"/>
  <c r="F67" i="3"/>
  <c r="X67" i="3"/>
  <c r="L68" i="3"/>
  <c r="AD68" i="3"/>
  <c r="N17" i="3"/>
  <c r="R37" i="3"/>
  <c r="C47" i="3"/>
  <c r="H50" i="3"/>
  <c r="J53" i="3"/>
  <c r="G56" i="3"/>
  <c r="O58" i="3"/>
  <c r="P60" i="3"/>
  <c r="L62" i="3"/>
  <c r="AD63" i="3"/>
  <c r="P65" i="3"/>
  <c r="H67" i="3"/>
  <c r="Z68" i="3"/>
  <c r="F70" i="3"/>
  <c r="D71" i="3"/>
  <c r="AD71" i="3"/>
  <c r="AB72" i="3"/>
  <c r="Y73" i="3"/>
  <c r="V74" i="3"/>
  <c r="Q75" i="3"/>
  <c r="F76" i="3"/>
  <c r="V76" i="3"/>
  <c r="G77" i="3"/>
  <c r="W77" i="3"/>
  <c r="J78" i="3"/>
  <c r="U78" i="3"/>
  <c r="G79" i="3"/>
  <c r="R79" i="3"/>
  <c r="D80" i="3"/>
  <c r="R80" i="3"/>
  <c r="AC80" i="3"/>
  <c r="O81" i="3"/>
  <c r="Z81" i="3"/>
  <c r="L82" i="3"/>
  <c r="V82" i="3"/>
  <c r="F83" i="3"/>
  <c r="P83" i="3"/>
  <c r="Z83" i="3"/>
  <c r="J84" i="3"/>
  <c r="T84" i="3"/>
  <c r="AD84" i="3"/>
  <c r="N85" i="3"/>
  <c r="X85" i="3"/>
  <c r="F86" i="3"/>
  <c r="R86" i="3"/>
  <c r="AB86" i="3"/>
  <c r="I87" i="3"/>
  <c r="Q87" i="3"/>
  <c r="Y87" i="3"/>
  <c r="E88" i="3"/>
  <c r="M88" i="3"/>
  <c r="U88" i="3"/>
  <c r="AC88" i="3"/>
  <c r="I89" i="3"/>
  <c r="Q89" i="3"/>
  <c r="Y89" i="3"/>
  <c r="E90" i="3"/>
  <c r="M90" i="3"/>
  <c r="U90" i="3"/>
  <c r="AC90" i="3"/>
  <c r="I91" i="3"/>
  <c r="Q91" i="3"/>
  <c r="Y91" i="3"/>
  <c r="E92" i="3"/>
  <c r="M92" i="3"/>
  <c r="U92" i="3"/>
  <c r="AC92" i="3"/>
  <c r="I93" i="3"/>
  <c r="Q93" i="3"/>
  <c r="Y93" i="3"/>
  <c r="E94" i="3"/>
  <c r="M94" i="3"/>
  <c r="U94" i="3"/>
  <c r="AC94" i="3"/>
  <c r="I95" i="3"/>
  <c r="Q95" i="3"/>
  <c r="Y95" i="3"/>
  <c r="E96" i="3"/>
  <c r="M96" i="3"/>
  <c r="U96" i="3"/>
  <c r="AC96" i="3"/>
  <c r="I97" i="3"/>
  <c r="Q97" i="3"/>
  <c r="Y97" i="3"/>
  <c r="E98" i="3"/>
  <c r="M98" i="3"/>
  <c r="U98" i="3"/>
  <c r="AC98" i="3"/>
  <c r="I99" i="3"/>
  <c r="Q99" i="3"/>
  <c r="Y99" i="3"/>
  <c r="E100" i="3"/>
  <c r="M100" i="3"/>
  <c r="U100" i="3"/>
  <c r="AC100" i="3"/>
  <c r="I101" i="3"/>
  <c r="Q101" i="3"/>
  <c r="Y101" i="3"/>
  <c r="E102" i="3"/>
  <c r="M102" i="3"/>
  <c r="U102" i="3"/>
  <c r="AC102" i="3"/>
  <c r="I103" i="3"/>
  <c r="Q103" i="3"/>
  <c r="Y103" i="3"/>
  <c r="E104" i="3"/>
  <c r="M104" i="3"/>
  <c r="U104" i="3"/>
  <c r="AC104" i="3"/>
  <c r="I105" i="3"/>
  <c r="Q105" i="3"/>
  <c r="Y105" i="3"/>
  <c r="V94" i="3"/>
  <c r="AD96" i="3"/>
  <c r="R97" i="3"/>
  <c r="F98" i="3"/>
  <c r="V98" i="3"/>
  <c r="J22" i="3"/>
  <c r="V40" i="3"/>
  <c r="D47" i="3"/>
  <c r="W50" i="3"/>
  <c r="Z53" i="3"/>
  <c r="H56" i="3"/>
  <c r="W58" i="3"/>
  <c r="AB60" i="3"/>
  <c r="O62" i="3"/>
  <c r="G64" i="3"/>
  <c r="X65" i="3"/>
  <c r="K67" i="3"/>
  <c r="C69" i="3"/>
  <c r="H70" i="3"/>
  <c r="F71" i="3"/>
  <c r="D72" i="3"/>
  <c r="AC72" i="3"/>
  <c r="Z73" i="3"/>
  <c r="X74" i="3"/>
  <c r="R75" i="3"/>
  <c r="H76" i="3"/>
  <c r="X76" i="3"/>
  <c r="L77" i="3"/>
  <c r="X77" i="3"/>
  <c r="K78" i="3"/>
  <c r="V78" i="3"/>
  <c r="H79" i="3"/>
  <c r="V79" i="3"/>
  <c r="E80" i="3"/>
  <c r="S80" i="3"/>
  <c r="AD80" i="3"/>
  <c r="P81" i="3"/>
  <c r="AD81" i="3"/>
  <c r="M82" i="3"/>
  <c r="X82" i="3"/>
  <c r="G83" i="3"/>
  <c r="Q83" i="3"/>
  <c r="AB83" i="3"/>
  <c r="K84" i="3"/>
  <c r="U84" i="3"/>
  <c r="D85" i="3"/>
  <c r="O85" i="3"/>
  <c r="Y85" i="3"/>
  <c r="H86" i="3"/>
  <c r="S86" i="3"/>
  <c r="AC86" i="3"/>
  <c r="J87" i="3"/>
  <c r="R87" i="3"/>
  <c r="Z87" i="3"/>
  <c r="F88" i="3"/>
  <c r="N88" i="3"/>
  <c r="V88" i="3"/>
  <c r="AD88" i="3"/>
  <c r="J89" i="3"/>
  <c r="R89" i="3"/>
  <c r="Z89" i="3"/>
  <c r="F90" i="3"/>
  <c r="N90" i="3"/>
  <c r="V90" i="3"/>
  <c r="AD90" i="3"/>
  <c r="J91" i="3"/>
  <c r="R91" i="3"/>
  <c r="Z91" i="3"/>
  <c r="F92" i="3"/>
  <c r="N92" i="3"/>
  <c r="V92" i="3"/>
  <c r="AD92" i="3"/>
  <c r="J93" i="3"/>
  <c r="R93" i="3"/>
  <c r="Z93" i="3"/>
  <c r="F94" i="3"/>
  <c r="N94" i="3"/>
  <c r="AD94" i="3"/>
  <c r="J95" i="3"/>
  <c r="R95" i="3"/>
  <c r="Z95" i="3"/>
  <c r="F96" i="3"/>
  <c r="N96" i="3"/>
  <c r="V96" i="3"/>
  <c r="J97" i="3"/>
  <c r="Z97" i="3"/>
  <c r="N98" i="3"/>
  <c r="Q23" i="3"/>
  <c r="P42" i="3"/>
  <c r="X47" i="3"/>
  <c r="X50" i="3"/>
  <c r="G54" i="3"/>
  <c r="W56" i="3"/>
  <c r="AA58" i="3"/>
  <c r="F61" i="3"/>
  <c r="W62" i="3"/>
  <c r="J64" i="3"/>
  <c r="AD65" i="3"/>
  <c r="S67" i="3"/>
  <c r="F69" i="3"/>
  <c r="J70" i="3"/>
  <c r="H71" i="3"/>
  <c r="E72" i="3"/>
  <c r="AD72" i="3"/>
  <c r="AB73" i="3"/>
  <c r="Z74" i="3"/>
  <c r="T75" i="3"/>
  <c r="L76" i="3"/>
  <c r="Y76" i="3"/>
  <c r="M77" i="3"/>
  <c r="Y77" i="3"/>
  <c r="L78" i="3"/>
  <c r="Z78" i="3"/>
  <c r="I79" i="3"/>
  <c r="W79" i="3"/>
  <c r="F80" i="3"/>
  <c r="T80" i="3"/>
  <c r="F81" i="3"/>
  <c r="Q81" i="3"/>
  <c r="C82" i="3"/>
  <c r="N82" i="3"/>
  <c r="Z82" i="3"/>
  <c r="H83" i="3"/>
  <c r="R83" i="3"/>
  <c r="AD83" i="3"/>
  <c r="L84" i="3"/>
  <c r="V84" i="3"/>
  <c r="F85" i="3"/>
  <c r="P85" i="3"/>
  <c r="Z85" i="3"/>
  <c r="J86" i="3"/>
  <c r="T86" i="3"/>
  <c r="AD86" i="3"/>
  <c r="K87" i="3"/>
  <c r="S87" i="3"/>
  <c r="AA87" i="3"/>
  <c r="G88" i="3"/>
  <c r="O88" i="3"/>
  <c r="W88" i="3"/>
  <c r="C89" i="3"/>
  <c r="K89" i="3"/>
  <c r="S89" i="3"/>
  <c r="AA89" i="3"/>
  <c r="G90" i="3"/>
  <c r="O90" i="3"/>
  <c r="W90" i="3"/>
  <c r="C91" i="3"/>
  <c r="K91" i="3"/>
  <c r="S91" i="3"/>
  <c r="AA91" i="3"/>
  <c r="G92" i="3"/>
  <c r="O92" i="3"/>
  <c r="W92" i="3"/>
  <c r="C93" i="3"/>
  <c r="K93" i="3"/>
  <c r="S93" i="3"/>
  <c r="AA93" i="3"/>
  <c r="G94" i="3"/>
  <c r="O94" i="3"/>
  <c r="W94" i="3"/>
  <c r="C95" i="3"/>
  <c r="K95" i="3"/>
  <c r="S95" i="3"/>
  <c r="AA95" i="3"/>
  <c r="G96" i="3"/>
  <c r="O96" i="3"/>
  <c r="W96" i="3"/>
  <c r="C97" i="3"/>
  <c r="K97" i="3"/>
  <c r="S97" i="3"/>
  <c r="AA97" i="3"/>
  <c r="G98" i="3"/>
  <c r="O98" i="3"/>
  <c r="W98" i="3"/>
  <c r="C99" i="3"/>
  <c r="K99" i="3"/>
  <c r="N28" i="3"/>
  <c r="AD42" i="3"/>
  <c r="L48" i="3"/>
  <c r="N51" i="3"/>
  <c r="L54" i="3"/>
  <c r="D57" i="3"/>
  <c r="J59" i="3"/>
  <c r="H61" i="3"/>
  <c r="AB62" i="3"/>
  <c r="R64" i="3"/>
  <c r="D66" i="3"/>
  <c r="Z67" i="3"/>
  <c r="N69" i="3"/>
  <c r="P70" i="3"/>
  <c r="N71" i="3"/>
  <c r="L72" i="3"/>
  <c r="I73" i="3"/>
  <c r="F74" i="3"/>
  <c r="D75" i="3"/>
  <c r="V75" i="3"/>
  <c r="M76" i="3"/>
  <c r="Z76" i="3"/>
  <c r="N77" i="3"/>
  <c r="AD77" i="3"/>
  <c r="M78" i="3"/>
  <c r="AA78" i="3"/>
  <c r="J79" i="3"/>
  <c r="X79" i="3"/>
  <c r="J80" i="3"/>
  <c r="U80" i="3"/>
  <c r="G81" i="3"/>
  <c r="R81" i="3"/>
  <c r="D82" i="3"/>
  <c r="P82" i="3"/>
  <c r="AA82" i="3"/>
  <c r="I83" i="3"/>
  <c r="T83" i="3"/>
  <c r="C84" i="3"/>
  <c r="M84" i="3"/>
  <c r="X84" i="3"/>
  <c r="G85" i="3"/>
  <c r="Q85" i="3"/>
  <c r="AB85" i="3"/>
  <c r="K86" i="3"/>
  <c r="U86" i="3"/>
  <c r="D87" i="3"/>
  <c r="L87" i="3"/>
  <c r="T87" i="3"/>
  <c r="AB87" i="3"/>
  <c r="H88" i="3"/>
  <c r="P88" i="3"/>
  <c r="X88" i="3"/>
  <c r="D89" i="3"/>
  <c r="L89" i="3"/>
  <c r="T89" i="3"/>
  <c r="AB89" i="3"/>
  <c r="H90" i="3"/>
  <c r="P90" i="3"/>
  <c r="X90" i="3"/>
  <c r="D91" i="3"/>
  <c r="L91" i="3"/>
  <c r="T91" i="3"/>
  <c r="AB91" i="3"/>
  <c r="H92" i="3"/>
  <c r="P92" i="3"/>
  <c r="X92" i="3"/>
  <c r="D93" i="3"/>
  <c r="L93" i="3"/>
  <c r="T93" i="3"/>
  <c r="AB93" i="3"/>
  <c r="H94" i="3"/>
  <c r="P94" i="3"/>
  <c r="X94" i="3"/>
  <c r="D95" i="3"/>
  <c r="L95" i="3"/>
  <c r="T95" i="3"/>
  <c r="AB95" i="3"/>
  <c r="H96" i="3"/>
  <c r="P96" i="3"/>
  <c r="X96" i="3"/>
  <c r="D97" i="3"/>
  <c r="L97" i="3"/>
  <c r="T97" i="3"/>
  <c r="AB97" i="3"/>
  <c r="H98" i="3"/>
  <c r="P98" i="3"/>
  <c r="X98" i="3"/>
  <c r="D99" i="3"/>
  <c r="L99" i="3"/>
  <c r="T99" i="3"/>
  <c r="AB99" i="3"/>
  <c r="H100" i="3"/>
  <c r="P100" i="3"/>
  <c r="D32" i="3"/>
  <c r="V44" i="3"/>
  <c r="N48" i="3"/>
  <c r="AD51" i="3"/>
  <c r="X54" i="3"/>
  <c r="H57" i="3"/>
  <c r="P59" i="3"/>
  <c r="P61" i="3"/>
  <c r="C63" i="3"/>
  <c r="X64" i="3"/>
  <c r="L66" i="3"/>
  <c r="AA67" i="3"/>
  <c r="S69" i="3"/>
  <c r="T70" i="3"/>
  <c r="Q71" i="3"/>
  <c r="N72" i="3"/>
  <c r="L73" i="3"/>
  <c r="J74" i="3"/>
  <c r="F75" i="3"/>
  <c r="X75" i="3"/>
  <c r="N76" i="3"/>
  <c r="AD76" i="3"/>
  <c r="O77" i="3"/>
  <c r="C78" i="3"/>
  <c r="N78" i="3"/>
  <c r="AB78" i="3"/>
  <c r="N79" i="3"/>
  <c r="Y79" i="3"/>
  <c r="K80" i="3"/>
  <c r="V80" i="3"/>
  <c r="H81" i="3"/>
  <c r="V81" i="3"/>
  <c r="E82" i="3"/>
  <c r="R82" i="3"/>
  <c r="AB82" i="3"/>
  <c r="J83" i="3"/>
  <c r="V83" i="3"/>
  <c r="D84" i="3"/>
  <c r="N84" i="3"/>
  <c r="Z84" i="3"/>
  <c r="H85" i="3"/>
  <c r="R85" i="3"/>
  <c r="AD85" i="3"/>
  <c r="L86" i="3"/>
  <c r="V86" i="3"/>
  <c r="E87" i="3"/>
  <c r="M87" i="3"/>
  <c r="U87" i="3"/>
  <c r="AC87" i="3"/>
  <c r="I88" i="3"/>
  <c r="Q88" i="3"/>
  <c r="Y88" i="3"/>
  <c r="E89" i="3"/>
  <c r="M89" i="3"/>
  <c r="U89" i="3"/>
  <c r="AC89" i="3"/>
  <c r="I90" i="3"/>
  <c r="Q90" i="3"/>
  <c r="Y90" i="3"/>
  <c r="E91" i="3"/>
  <c r="M91" i="3"/>
  <c r="U91" i="3"/>
  <c r="AC91" i="3"/>
  <c r="I92" i="3"/>
  <c r="Q92" i="3"/>
  <c r="Y92" i="3"/>
  <c r="E93" i="3"/>
  <c r="M93" i="3"/>
  <c r="U93" i="3"/>
  <c r="AC93" i="3"/>
  <c r="I94" i="3"/>
  <c r="Q94" i="3"/>
  <c r="Y94" i="3"/>
  <c r="E95" i="3"/>
  <c r="M95" i="3"/>
  <c r="U95" i="3"/>
  <c r="AC95" i="3"/>
  <c r="I96" i="3"/>
  <c r="Q96" i="3"/>
  <c r="Y96" i="3"/>
  <c r="E97" i="3"/>
  <c r="M97" i="3"/>
  <c r="U97" i="3"/>
  <c r="AC97" i="3"/>
  <c r="I98" i="3"/>
  <c r="F105" i="3"/>
  <c r="Z102" i="3"/>
  <c r="N99" i="3"/>
  <c r="F93" i="3"/>
  <c r="AB84" i="3"/>
  <c r="H75" i="3"/>
  <c r="F104" i="3"/>
  <c r="Y102" i="3"/>
  <c r="P101" i="3"/>
  <c r="W99" i="3"/>
  <c r="Z96" i="3"/>
  <c r="AB92" i="3"/>
  <c r="L88" i="3"/>
  <c r="U82" i="3"/>
  <c r="T74" i="3"/>
  <c r="N46" i="3"/>
  <c r="M105" i="3"/>
  <c r="W103" i="3"/>
  <c r="AD104" i="3"/>
  <c r="T104" i="3"/>
  <c r="K104" i="3"/>
  <c r="AD103" i="3"/>
  <c r="U103" i="3"/>
  <c r="L103" i="3"/>
  <c r="C103" i="3"/>
  <c r="V102" i="3"/>
  <c r="L102" i="3"/>
  <c r="C102" i="3"/>
  <c r="V101" i="3"/>
  <c r="M101" i="3"/>
  <c r="D101" i="3"/>
  <c r="W100" i="3"/>
  <c r="L100" i="3"/>
  <c r="AD99" i="3"/>
  <c r="S99" i="3"/>
  <c r="G99" i="3"/>
  <c r="T98" i="3"/>
  <c r="C98" i="3"/>
  <c r="H97" i="3"/>
  <c r="R96" i="3"/>
  <c r="W95" i="3"/>
  <c r="AB94" i="3"/>
  <c r="J94" i="3"/>
  <c r="O93" i="3"/>
  <c r="T92" i="3"/>
  <c r="AD91" i="3"/>
  <c r="G91" i="3"/>
  <c r="L90" i="3"/>
  <c r="V89" i="3"/>
  <c r="AA88" i="3"/>
  <c r="D88" i="3"/>
  <c r="N87" i="3"/>
  <c r="N86" i="3"/>
  <c r="L85" i="3"/>
  <c r="P84" i="3"/>
  <c r="N83" i="3"/>
  <c r="K82" i="3"/>
  <c r="I81" i="3"/>
  <c r="AD79" i="3"/>
  <c r="T78" i="3"/>
  <c r="P77" i="3"/>
  <c r="D76" i="3"/>
  <c r="V73" i="3"/>
  <c r="R71" i="3"/>
  <c r="O68" i="3"/>
  <c r="T63" i="3"/>
  <c r="T59" i="3"/>
  <c r="T52" i="3"/>
  <c r="P37" i="3"/>
  <c r="Z104" i="3"/>
  <c r="R103" i="3"/>
  <c r="AB101" i="3"/>
  <c r="I100" i="3"/>
  <c r="AB96" i="3"/>
  <c r="L92" i="3"/>
  <c r="X87" i="3"/>
  <c r="Z80" i="3"/>
  <c r="I75" i="3"/>
  <c r="F62" i="3"/>
  <c r="O105" i="3"/>
  <c r="AA101" i="3"/>
  <c r="AA96" i="3"/>
  <c r="W87" i="3"/>
  <c r="R72" i="3"/>
  <c r="W105" i="3"/>
  <c r="F103" i="3"/>
  <c r="F100" i="3"/>
  <c r="H95" i="3"/>
  <c r="G89" i="3"/>
  <c r="W81" i="3"/>
  <c r="W69" i="3"/>
  <c r="D105" i="3"/>
  <c r="N103" i="3"/>
  <c r="AC105" i="3"/>
  <c r="AB105" i="3"/>
  <c r="AB104" i="3"/>
  <c r="AC103" i="3"/>
  <c r="AD102" i="3"/>
  <c r="U101" i="3"/>
  <c r="K100" i="3"/>
  <c r="S98" i="3"/>
  <c r="V95" i="3"/>
  <c r="D94" i="3"/>
  <c r="N93" i="3"/>
  <c r="S92" i="3"/>
  <c r="X91" i="3"/>
  <c r="F91" i="3"/>
  <c r="P89" i="3"/>
  <c r="Z88" i="3"/>
  <c r="C88" i="3"/>
  <c r="H87" i="3"/>
  <c r="M86" i="3"/>
  <c r="J85" i="3"/>
  <c r="H84" i="3"/>
  <c r="L83" i="3"/>
  <c r="J82" i="3"/>
  <c r="AB80" i="3"/>
  <c r="Z79" i="3"/>
  <c r="S78" i="3"/>
  <c r="F77" i="3"/>
  <c r="AD75" i="3"/>
  <c r="P73" i="3"/>
  <c r="AC70" i="3"/>
  <c r="H68" i="3"/>
  <c r="S63" i="3"/>
  <c r="AD57" i="3"/>
  <c r="D52" i="3"/>
  <c r="T35" i="3"/>
  <c r="G105" i="3"/>
  <c r="H104" i="3"/>
  <c r="AA102" i="3"/>
  <c r="S101" i="3"/>
  <c r="S100" i="3"/>
  <c r="Z99" i="3"/>
  <c r="Q98" i="3"/>
  <c r="J96" i="3"/>
  <c r="AD93" i="3"/>
  <c r="AA90" i="3"/>
  <c r="S88" i="3"/>
  <c r="AC84" i="3"/>
  <c r="Y81" i="3"/>
  <c r="D77" i="3"/>
  <c r="V66" i="3"/>
  <c r="X105" i="3"/>
  <c r="P104" i="3"/>
  <c r="Z103" i="3"/>
  <c r="G103" i="3"/>
  <c r="Q102" i="3"/>
  <c r="R101" i="3"/>
  <c r="AA100" i="3"/>
  <c r="X99" i="3"/>
  <c r="L98" i="3"/>
  <c r="D96" i="3"/>
  <c r="S94" i="3"/>
  <c r="K92" i="3"/>
  <c r="Z90" i="3"/>
  <c r="H89" i="3"/>
  <c r="AA86" i="3"/>
  <c r="AC82" i="3"/>
  <c r="N80" i="3"/>
  <c r="E78" i="3"/>
  <c r="D70" i="3"/>
  <c r="V55" i="3"/>
  <c r="E105" i="3"/>
  <c r="O103" i="3"/>
  <c r="G102" i="3"/>
  <c r="Z100" i="3"/>
  <c r="AA98" i="3"/>
  <c r="C96" i="3"/>
  <c r="W93" i="3"/>
  <c r="AD89" i="3"/>
  <c r="Z86" i="3"/>
  <c r="X83" i="3"/>
  <c r="F79" i="3"/>
  <c r="P72" i="3"/>
  <c r="J55" i="3"/>
  <c r="V105" i="3"/>
  <c r="N104" i="3"/>
  <c r="X102" i="3"/>
  <c r="T105" i="3"/>
  <c r="K105" i="3"/>
  <c r="S105" i="3"/>
  <c r="J105" i="3"/>
  <c r="S104" i="3"/>
  <c r="J104" i="3"/>
  <c r="T103" i="3"/>
  <c r="K103" i="3"/>
  <c r="T102" i="3"/>
  <c r="K102" i="3"/>
  <c r="AD101" i="3"/>
  <c r="L101" i="3"/>
  <c r="C101" i="3"/>
  <c r="V100" i="3"/>
  <c r="AC99" i="3"/>
  <c r="R99" i="3"/>
  <c r="F99" i="3"/>
  <c r="AD97" i="3"/>
  <c r="G97" i="3"/>
  <c r="L96" i="3"/>
  <c r="AA94" i="3"/>
  <c r="K90" i="3"/>
  <c r="AA105" i="3"/>
  <c r="R105" i="3"/>
  <c r="H105" i="3"/>
  <c r="AA104" i="3"/>
  <c r="R104" i="3"/>
  <c r="I104" i="3"/>
  <c r="AB103" i="3"/>
  <c r="S103" i="3"/>
  <c r="J103" i="3"/>
  <c r="AB102" i="3"/>
  <c r="S102" i="3"/>
  <c r="J102" i="3"/>
  <c r="AC101" i="3"/>
  <c r="T101" i="3"/>
  <c r="K101" i="3"/>
  <c r="AD100" i="3"/>
  <c r="T100" i="3"/>
  <c r="J100" i="3"/>
  <c r="AA99" i="3"/>
  <c r="P99" i="3"/>
  <c r="E99" i="3"/>
  <c r="R98" i="3"/>
  <c r="X97" i="3"/>
  <c r="F97" i="3"/>
  <c r="K96" i="3"/>
  <c r="P95" i="3"/>
  <c r="Z94" i="3"/>
  <c r="C94" i="3"/>
  <c r="H93" i="3"/>
  <c r="R92" i="3"/>
  <c r="W91" i="3"/>
  <c r="AB90" i="3"/>
  <c r="J90" i="3"/>
  <c r="O89" i="3"/>
  <c r="T88" i="3"/>
  <c r="AD87" i="3"/>
  <c r="G87" i="3"/>
  <c r="E86" i="3"/>
  <c r="I85" i="3"/>
  <c r="F84" i="3"/>
  <c r="D83" i="3"/>
  <c r="F82" i="3"/>
  <c r="AA80" i="3"/>
  <c r="Q79" i="3"/>
  <c r="R78" i="3"/>
  <c r="E77" i="3"/>
  <c r="J75" i="3"/>
  <c r="N73" i="3"/>
  <c r="V70" i="3"/>
  <c r="C67" i="3"/>
  <c r="K63" i="3"/>
  <c r="AB57" i="3"/>
  <c r="S49" i="3"/>
  <c r="L33" i="3"/>
  <c r="AI33" i="3"/>
  <c r="BB31" i="3"/>
  <c r="AZ30" i="3"/>
  <c r="AQ29" i="3"/>
  <c r="AE28" i="3"/>
  <c r="AU26" i="3"/>
  <c r="AL25" i="3"/>
  <c r="AY23" i="3"/>
  <c r="AQ22" i="3"/>
  <c r="BB20" i="3"/>
  <c r="AQ19" i="3"/>
  <c r="AI18" i="3"/>
  <c r="AU16" i="3"/>
  <c r="AL15" i="3"/>
  <c r="BB13" i="3"/>
  <c r="AQ12" i="3"/>
  <c r="AT10" i="3"/>
  <c r="BB7" i="3"/>
  <c r="AY64" i="3"/>
  <c r="AQ64" i="3"/>
  <c r="AI64" i="3"/>
  <c r="AY63" i="3"/>
  <c r="AQ63" i="3"/>
  <c r="AI63" i="3"/>
  <c r="AY62" i="3"/>
  <c r="AQ62" i="3"/>
  <c r="AI62" i="3"/>
  <c r="AY61" i="3"/>
  <c r="AQ61" i="3"/>
  <c r="AI61" i="3"/>
  <c r="AY60" i="3"/>
  <c r="AQ60" i="3"/>
  <c r="AI60" i="3"/>
  <c r="AY59" i="3"/>
  <c r="AQ59" i="3"/>
  <c r="AI59" i="3"/>
  <c r="AY58" i="3"/>
  <c r="AP58" i="3"/>
  <c r="AE58" i="3"/>
  <c r="AS57" i="3"/>
  <c r="AH57" i="3"/>
  <c r="AU56" i="3"/>
  <c r="AK56" i="3"/>
  <c r="AX55" i="3"/>
  <c r="AM55" i="3"/>
  <c r="BA54" i="3"/>
  <c r="AP54" i="3"/>
  <c r="AE54" i="3"/>
  <c r="AS53" i="3"/>
  <c r="AH53" i="3"/>
  <c r="AU52" i="3"/>
  <c r="AK52" i="3"/>
  <c r="AX51" i="3"/>
  <c r="AM51" i="3"/>
  <c r="BA50" i="3"/>
  <c r="AP50" i="3"/>
  <c r="AE50" i="3"/>
  <c r="AS49" i="3"/>
  <c r="AH49" i="3"/>
  <c r="AU48" i="3"/>
  <c r="AK48" i="3"/>
  <c r="AX47" i="3"/>
  <c r="AL47" i="3"/>
  <c r="AT46" i="3"/>
  <c r="AZ45" i="3"/>
  <c r="AH45" i="3"/>
  <c r="AP44" i="3"/>
  <c r="AV43" i="3"/>
  <c r="AE43" i="3"/>
  <c r="AM42" i="3"/>
  <c r="AT41" i="3"/>
  <c r="AZ40" i="3"/>
  <c r="AJ40" i="3"/>
  <c r="AP39" i="3"/>
  <c r="AV38" i="3"/>
  <c r="AF38" i="3"/>
  <c r="AM37" i="3"/>
  <c r="AT36" i="3"/>
  <c r="BB35" i="3"/>
  <c r="AJ35" i="3"/>
  <c r="AG34" i="3"/>
  <c r="AE33" i="3"/>
  <c r="AY31" i="3"/>
  <c r="AU30" i="3"/>
  <c r="AM29" i="3"/>
  <c r="BB27" i="3"/>
  <c r="AQ26" i="3"/>
  <c r="AI25" i="3"/>
  <c r="AT23" i="3"/>
  <c r="AI22" i="3"/>
  <c r="AY20" i="3"/>
  <c r="AM19" i="3"/>
  <c r="BB17" i="3"/>
  <c r="AT16" i="3"/>
  <c r="AI15" i="3"/>
  <c r="AT13" i="3"/>
  <c r="AL12" i="3"/>
  <c r="AQ10" i="3"/>
  <c r="AL7" i="3"/>
  <c r="AG65" i="3"/>
  <c r="AW64" i="3"/>
  <c r="AO64" i="3"/>
  <c r="AG64" i="3"/>
  <c r="AW63" i="3"/>
  <c r="AO63" i="3"/>
  <c r="AG63" i="3"/>
  <c r="AW62" i="3"/>
  <c r="AO62" i="3"/>
  <c r="AG62" i="3"/>
  <c r="AW61" i="3"/>
  <c r="AO61" i="3"/>
  <c r="AG61" i="3"/>
  <c r="AW60" i="3"/>
  <c r="AO60" i="3"/>
  <c r="AG60" i="3"/>
  <c r="AW59" i="3"/>
  <c r="AO59" i="3"/>
  <c r="AG59" i="3"/>
  <c r="AW58" i="3"/>
  <c r="AM58" i="3"/>
  <c r="BA57" i="3"/>
  <c r="AP57" i="3"/>
  <c r="AE57" i="3"/>
  <c r="AS56" i="3"/>
  <c r="AH56" i="3"/>
  <c r="AU55" i="3"/>
  <c r="AK55" i="3"/>
  <c r="AX54" i="3"/>
  <c r="AM54" i="3"/>
  <c r="BA53" i="3"/>
  <c r="AP53" i="3"/>
  <c r="AE53" i="3"/>
  <c r="AS52" i="3"/>
  <c r="AH52" i="3"/>
  <c r="AU51" i="3"/>
  <c r="AK51" i="3"/>
  <c r="AX50" i="3"/>
  <c r="AM50" i="3"/>
  <c r="BA49" i="3"/>
  <c r="AP49" i="3"/>
  <c r="AE49" i="3"/>
  <c r="AS48" i="3"/>
  <c r="AH48" i="3"/>
  <c r="AU47" i="3"/>
  <c r="AH47" i="3"/>
  <c r="AN46" i="3"/>
  <c r="AU45" i="3"/>
  <c r="AE45" i="3"/>
  <c r="AL44" i="3"/>
  <c r="AR43" i="3"/>
  <c r="AZ42" i="3"/>
  <c r="AH42" i="3"/>
  <c r="AN41" i="3"/>
  <c r="AV40" i="3"/>
  <c r="AE40" i="3"/>
  <c r="AL39" i="3"/>
  <c r="AT38" i="3"/>
  <c r="AZ37" i="3"/>
  <c r="AH37" i="3"/>
  <c r="AP36" i="3"/>
  <c r="AV35" i="3"/>
  <c r="BB34" i="3"/>
  <c r="AZ33" i="3"/>
  <c r="AW32" i="3"/>
  <c r="AR31" i="3"/>
  <c r="AQ30" i="3"/>
  <c r="BB28" i="3"/>
  <c r="AQ27" i="3"/>
  <c r="AI26" i="3"/>
  <c r="AU24" i="3"/>
  <c r="AL23" i="3"/>
  <c r="BB21" i="3"/>
  <c r="AQ20" i="3"/>
  <c r="BB18" i="3"/>
  <c r="AT17" i="3"/>
  <c r="AI16" i="3"/>
  <c r="AU14" i="3"/>
  <c r="AM13" i="3"/>
  <c r="AY11" i="3"/>
  <c r="BB9" i="3"/>
  <c r="AN66" i="3"/>
  <c r="AF66" i="3"/>
  <c r="AV65" i="3"/>
  <c r="AN65" i="3"/>
  <c r="AF65" i="3"/>
  <c r="AV64" i="3"/>
  <c r="AN64" i="3"/>
  <c r="AF64" i="3"/>
  <c r="AV63" i="3"/>
  <c r="AN63" i="3"/>
  <c r="AF63" i="3"/>
  <c r="AV62" i="3"/>
  <c r="AN62" i="3"/>
  <c r="AF62" i="3"/>
  <c r="AV61" i="3"/>
  <c r="AN61" i="3"/>
  <c r="AF61" i="3"/>
  <c r="AV60" i="3"/>
  <c r="AN60" i="3"/>
  <c r="AF60" i="3"/>
  <c r="AV59" i="3"/>
  <c r="AN59" i="3"/>
  <c r="AF59" i="3"/>
  <c r="AV58" i="3"/>
  <c r="AL58" i="3"/>
  <c r="AY57" i="3"/>
  <c r="AO57" i="3"/>
  <c r="BB56" i="3"/>
  <c r="AQ56" i="3"/>
  <c r="AG56" i="3"/>
  <c r="AT55" i="3"/>
  <c r="AI55" i="3"/>
  <c r="AW54" i="3"/>
  <c r="AL54" i="3"/>
  <c r="AY53" i="3"/>
  <c r="AO53" i="3"/>
  <c r="BB52" i="3"/>
  <c r="AQ52" i="3"/>
  <c r="AG52" i="3"/>
  <c r="AT51" i="3"/>
  <c r="AI51" i="3"/>
  <c r="AW50" i="3"/>
  <c r="AL50" i="3"/>
  <c r="AY49" i="3"/>
  <c r="AO49" i="3"/>
  <c r="BB48" i="3"/>
  <c r="AQ48" i="3"/>
  <c r="AG48" i="3"/>
  <c r="AT47" i="3"/>
  <c r="AE47" i="3"/>
  <c r="AM46" i="3"/>
  <c r="AT45" i="3"/>
  <c r="AZ44" i="3"/>
  <c r="AJ44" i="3"/>
  <c r="AP43" i="3"/>
  <c r="AV42" i="3"/>
  <c r="AF42" i="3"/>
  <c r="AM41" i="3"/>
  <c r="AT40" i="3"/>
  <c r="BB39" i="3"/>
  <c r="AJ39" i="3"/>
  <c r="AP38" i="3"/>
  <c r="AX37" i="3"/>
  <c r="AF37" i="3"/>
  <c r="AM36" i="3"/>
  <c r="AU35" i="3"/>
  <c r="AZ34" i="3"/>
  <c r="AU33" i="3"/>
  <c r="AT32" i="3"/>
  <c r="AN31" i="3"/>
  <c r="AI30" i="3"/>
  <c r="AY28" i="3"/>
  <c r="AM27" i="3"/>
  <c r="BB25" i="3"/>
  <c r="AT24" i="3"/>
  <c r="AI23" i="3"/>
  <c r="AT21" i="3"/>
  <c r="AL20" i="3"/>
  <c r="AY18" i="3"/>
  <c r="AM17" i="3"/>
  <c r="AE16" i="3"/>
  <c r="AT14" i="3"/>
  <c r="AI13" i="3"/>
  <c r="AT11" i="3"/>
  <c r="AT9" i="3"/>
  <c r="AM65" i="3"/>
  <c r="AE65" i="3"/>
  <c r="AU64" i="3"/>
  <c r="AM64" i="3"/>
  <c r="AE64" i="3"/>
  <c r="AU63" i="3"/>
  <c r="AM63" i="3"/>
  <c r="AE63" i="3"/>
  <c r="AU62" i="3"/>
  <c r="AM62" i="3"/>
  <c r="AE62" i="3"/>
  <c r="AU61" i="3"/>
  <c r="AM61" i="3"/>
  <c r="AE61" i="3"/>
  <c r="AU60" i="3"/>
  <c r="AM60" i="3"/>
  <c r="AE60" i="3"/>
  <c r="AU59" i="3"/>
  <c r="AM59" i="3"/>
  <c r="AE59" i="3"/>
  <c r="AU58" i="3"/>
  <c r="AK58" i="3"/>
  <c r="AX57" i="3"/>
  <c r="AM57" i="3"/>
  <c r="BA56" i="3"/>
  <c r="AP56" i="3"/>
  <c r="AE56" i="3"/>
  <c r="AS55" i="3"/>
  <c r="AH55" i="3"/>
  <c r="AU54" i="3"/>
  <c r="AK54" i="3"/>
  <c r="AX53" i="3"/>
  <c r="AM53" i="3"/>
  <c r="BA52" i="3"/>
  <c r="AP52" i="3"/>
  <c r="AE52" i="3"/>
  <c r="AS51" i="3"/>
  <c r="AH51" i="3"/>
  <c r="AU50" i="3"/>
  <c r="AK50" i="3"/>
  <c r="AX49" i="3"/>
  <c r="AM49" i="3"/>
  <c r="BA48" i="3"/>
  <c r="AP48" i="3"/>
  <c r="AE48" i="3"/>
  <c r="AS47" i="3"/>
  <c r="BB46" i="3"/>
  <c r="AJ46" i="3"/>
  <c r="AR45" i="3"/>
  <c r="AX44" i="3"/>
  <c r="AF44" i="3"/>
  <c r="AN43" i="3"/>
  <c r="AU42" i="3"/>
  <c r="BB41" i="3"/>
  <c r="AL41" i="3"/>
  <c r="AR40" i="3"/>
  <c r="AX39" i="3"/>
  <c r="AH39" i="3"/>
  <c r="AN38" i="3"/>
  <c r="AU37" i="3"/>
  <c r="AE37" i="3"/>
  <c r="AL36" i="3"/>
  <c r="AR35" i="3"/>
  <c r="AW34" i="3"/>
  <c r="AR33" i="3"/>
  <c r="AM32" i="3"/>
  <c r="AL31" i="3"/>
  <c r="AE30" i="3"/>
  <c r="AT28" i="3"/>
  <c r="AL27" i="3"/>
  <c r="AY25" i="3"/>
  <c r="AL24" i="3"/>
  <c r="BB22" i="3"/>
  <c r="AQ21" i="3"/>
  <c r="AE20" i="3"/>
  <c r="AU18" i="3"/>
  <c r="AL17" i="3"/>
  <c r="AY15" i="3"/>
  <c r="AQ14" i="3"/>
  <c r="BB12" i="3"/>
  <c r="AL11" i="3"/>
  <c r="AL9" i="3"/>
  <c r="Y69" i="3"/>
  <c r="Q69" i="3"/>
  <c r="I69" i="3"/>
  <c r="AC68" i="3"/>
  <c r="U68" i="3"/>
  <c r="M68" i="3"/>
  <c r="E68" i="3"/>
  <c r="Y67" i="3"/>
  <c r="Q67" i="3"/>
  <c r="I67" i="3"/>
  <c r="AC66" i="3"/>
  <c r="U66" i="3"/>
  <c r="M66" i="3"/>
  <c r="E66" i="3"/>
  <c r="Y65" i="3"/>
  <c r="Q65" i="3"/>
  <c r="I65" i="3"/>
  <c r="AC64" i="3"/>
  <c r="U64" i="3"/>
  <c r="M64" i="3"/>
  <c r="E64" i="3"/>
  <c r="Y63" i="3"/>
  <c r="Q63" i="3"/>
  <c r="I63" i="3"/>
  <c r="AC62" i="3"/>
  <c r="U62" i="3"/>
  <c r="M62" i="3"/>
  <c r="E62" i="3"/>
  <c r="Y61" i="3"/>
  <c r="Q61" i="3"/>
  <c r="I61" i="3"/>
  <c r="AC60" i="3"/>
  <c r="U60" i="3"/>
  <c r="M60" i="3"/>
  <c r="E60" i="3"/>
  <c r="Y59" i="3"/>
  <c r="Q59" i="3"/>
  <c r="I59" i="3"/>
  <c r="AC58" i="3"/>
  <c r="U58" i="3"/>
  <c r="M58" i="3"/>
  <c r="E58" i="3"/>
  <c r="Y57" i="3"/>
  <c r="Q57" i="3"/>
  <c r="I57" i="3"/>
  <c r="AC56" i="3"/>
  <c r="U56" i="3"/>
  <c r="M56" i="3"/>
  <c r="E56" i="3"/>
  <c r="Y55" i="3"/>
  <c r="Q55" i="3"/>
  <c r="I55" i="3"/>
  <c r="AC54" i="3"/>
  <c r="U54" i="3"/>
  <c r="M54" i="3"/>
  <c r="E54" i="3"/>
  <c r="Y53" i="3"/>
  <c r="Q53" i="3"/>
  <c r="I53" i="3"/>
  <c r="AC52" i="3"/>
  <c r="U52" i="3"/>
  <c r="M52" i="3"/>
  <c r="E52" i="3"/>
  <c r="Y51" i="3"/>
  <c r="Q51" i="3"/>
  <c r="I51" i="3"/>
  <c r="AC50" i="3"/>
  <c r="U50" i="3"/>
  <c r="M50" i="3"/>
  <c r="E50" i="3"/>
  <c r="Y49" i="3"/>
  <c r="Q49" i="3"/>
  <c r="I49" i="3"/>
  <c r="AC48" i="3"/>
  <c r="U48" i="3"/>
  <c r="M48" i="3"/>
  <c r="E48" i="3"/>
  <c r="Y47" i="3"/>
  <c r="Q47" i="3"/>
  <c r="I47" i="3"/>
  <c r="AC46" i="3"/>
  <c r="U46" i="3"/>
  <c r="M46" i="3"/>
  <c r="E46" i="3"/>
  <c r="Y45" i="3"/>
  <c r="Q45" i="3"/>
  <c r="I45" i="3"/>
  <c r="AC44" i="3"/>
  <c r="U44" i="3"/>
  <c r="M44" i="3"/>
  <c r="E44" i="3"/>
  <c r="Y43" i="3"/>
  <c r="Q43" i="3"/>
  <c r="I43" i="3"/>
  <c r="AC42" i="3"/>
  <c r="U42" i="3"/>
  <c r="M42" i="3"/>
  <c r="E42" i="3"/>
  <c r="Y41" i="3"/>
  <c r="Q41" i="3"/>
  <c r="I41" i="3"/>
  <c r="AC40" i="3"/>
  <c r="U40" i="3"/>
  <c r="M40" i="3"/>
  <c r="E40" i="3"/>
  <c r="Y39" i="3"/>
  <c r="Q39" i="3"/>
  <c r="I39" i="3"/>
  <c r="AC38" i="3"/>
  <c r="U38" i="3"/>
  <c r="M38" i="3"/>
  <c r="E38" i="3"/>
  <c r="Y37" i="3"/>
  <c r="Q37" i="3"/>
  <c r="I37" i="3"/>
  <c r="AC36" i="3"/>
  <c r="U36" i="3"/>
  <c r="M36" i="3"/>
  <c r="E36" i="3"/>
  <c r="Y35" i="3"/>
  <c r="Q35" i="3"/>
  <c r="I35" i="3"/>
  <c r="AC34" i="3"/>
  <c r="U34" i="3"/>
  <c r="M34" i="3"/>
  <c r="E34" i="3"/>
  <c r="Y33" i="3"/>
  <c r="Q33" i="3"/>
  <c r="I33" i="3"/>
  <c r="AC32" i="3"/>
  <c r="U32" i="3"/>
  <c r="M32" i="3"/>
  <c r="E32" i="3"/>
  <c r="Y31" i="3"/>
  <c r="Q31" i="3"/>
  <c r="I31" i="3"/>
  <c r="N30" i="3"/>
  <c r="V29" i="3"/>
  <c r="AC28" i="3"/>
  <c r="F28" i="3"/>
  <c r="N27" i="3"/>
  <c r="U26" i="3"/>
  <c r="Z25" i="3"/>
  <c r="F25" i="3"/>
  <c r="M24" i="3"/>
  <c r="R23" i="3"/>
  <c r="Z22" i="3"/>
  <c r="E22" i="3"/>
  <c r="J21" i="3"/>
  <c r="R20" i="3"/>
  <c r="Y19" i="3"/>
  <c r="AD18" i="3"/>
  <c r="J18" i="3"/>
  <c r="Q17" i="3"/>
  <c r="V16" i="3"/>
  <c r="AD15" i="3"/>
  <c r="I15" i="3"/>
  <c r="N14" i="3"/>
  <c r="V13" i="3"/>
  <c r="AC12" i="3"/>
  <c r="F12" i="3"/>
  <c r="N11" i="3"/>
  <c r="U10" i="3"/>
  <c r="Z9" i="3"/>
  <c r="F9" i="3"/>
  <c r="M8" i="3"/>
  <c r="R7" i="3"/>
  <c r="U16" i="3"/>
  <c r="Z15" i="3"/>
  <c r="F15" i="3"/>
  <c r="M14" i="3"/>
  <c r="R13" i="3"/>
  <c r="Z12" i="3"/>
  <c r="E12" i="3"/>
  <c r="J11" i="3"/>
  <c r="R10" i="3"/>
  <c r="Y9" i="3"/>
  <c r="AD8" i="3"/>
  <c r="J8" i="3"/>
  <c r="Q7" i="3"/>
  <c r="G57" i="3"/>
  <c r="AA56" i="3"/>
  <c r="S56" i="3"/>
  <c r="K56" i="3"/>
  <c r="C56" i="3"/>
  <c r="W55" i="3"/>
  <c r="O55" i="3"/>
  <c r="G55" i="3"/>
  <c r="AA54" i="3"/>
  <c r="S54" i="3"/>
  <c r="K54" i="3"/>
  <c r="C54" i="3"/>
  <c r="W53" i="3"/>
  <c r="O53" i="3"/>
  <c r="G53" i="3"/>
  <c r="AA52" i="3"/>
  <c r="S52" i="3"/>
  <c r="K52" i="3"/>
  <c r="C52" i="3"/>
  <c r="W51" i="3"/>
  <c r="O51" i="3"/>
  <c r="G51" i="3"/>
  <c r="AA50" i="3"/>
  <c r="S50" i="3"/>
  <c r="K50" i="3"/>
  <c r="C50" i="3"/>
  <c r="W49" i="3"/>
  <c r="O49" i="3"/>
  <c r="G49" i="3"/>
  <c r="AA48" i="3"/>
  <c r="S48" i="3"/>
  <c r="K48" i="3"/>
  <c r="C48" i="3"/>
  <c r="W47" i="3"/>
  <c r="O47" i="3"/>
  <c r="G47" i="3"/>
  <c r="AA46" i="3"/>
  <c r="S46" i="3"/>
  <c r="K46" i="3"/>
  <c r="C46" i="3"/>
  <c r="W45" i="3"/>
  <c r="O45" i="3"/>
  <c r="G45" i="3"/>
  <c r="AA44" i="3"/>
  <c r="S44" i="3"/>
  <c r="K44" i="3"/>
  <c r="C44" i="3"/>
  <c r="W43" i="3"/>
  <c r="O43" i="3"/>
  <c r="G43" i="3"/>
  <c r="AA42" i="3"/>
  <c r="S42" i="3"/>
  <c r="K42" i="3"/>
  <c r="C42" i="3"/>
  <c r="W41" i="3"/>
  <c r="O41" i="3"/>
  <c r="G41" i="3"/>
  <c r="AA40" i="3"/>
  <c r="S40" i="3"/>
  <c r="K40" i="3"/>
  <c r="C40" i="3"/>
  <c r="W39" i="3"/>
  <c r="O39" i="3"/>
  <c r="G39" i="3"/>
  <c r="AA38" i="3"/>
  <c r="S38" i="3"/>
  <c r="K38" i="3"/>
  <c r="C38" i="3"/>
  <c r="W37" i="3"/>
  <c r="O37" i="3"/>
  <c r="G37" i="3"/>
  <c r="AA36" i="3"/>
  <c r="S36" i="3"/>
  <c r="K36" i="3"/>
  <c r="C36" i="3"/>
  <c r="W35" i="3"/>
  <c r="O35" i="3"/>
  <c r="G35" i="3"/>
  <c r="AA34" i="3"/>
  <c r="S34" i="3"/>
  <c r="K34" i="3"/>
  <c r="C34" i="3"/>
  <c r="W33" i="3"/>
  <c r="O33" i="3"/>
  <c r="G33" i="3"/>
  <c r="AA32" i="3"/>
  <c r="S32" i="3"/>
  <c r="K32" i="3"/>
  <c r="C32" i="3"/>
  <c r="W31" i="3"/>
  <c r="O31" i="3"/>
  <c r="AD30" i="3"/>
  <c r="J30" i="3"/>
  <c r="Q29" i="3"/>
  <c r="V28" i="3"/>
  <c r="AD27" i="3"/>
  <c r="I27" i="3"/>
  <c r="N26" i="3"/>
  <c r="V25" i="3"/>
  <c r="AC24" i="3"/>
  <c r="F24" i="3"/>
  <c r="N23" i="3"/>
  <c r="U22" i="3"/>
  <c r="Z21" i="3"/>
  <c r="F21" i="3"/>
  <c r="M20" i="3"/>
  <c r="R19" i="3"/>
  <c r="Z18" i="3"/>
  <c r="E18" i="3"/>
  <c r="J17" i="3"/>
  <c r="R16" i="3"/>
  <c r="Y15" i="3"/>
  <c r="AD14" i="3"/>
  <c r="J14" i="3"/>
  <c r="Q13" i="3"/>
  <c r="V12" i="3"/>
  <c r="AD11" i="3"/>
  <c r="I11" i="3"/>
  <c r="N10" i="3"/>
  <c r="V9" i="3"/>
  <c r="AC8" i="3"/>
  <c r="F8" i="3"/>
  <c r="N7" i="3"/>
  <c r="AC69" i="3"/>
  <c r="U69" i="3"/>
  <c r="M69" i="3"/>
  <c r="E69" i="3"/>
  <c r="Y68" i="3"/>
  <c r="Q68" i="3"/>
  <c r="I68" i="3"/>
  <c r="AC67" i="3"/>
  <c r="U67" i="3"/>
  <c r="M67" i="3"/>
  <c r="E67" i="3"/>
  <c r="Y66" i="3"/>
  <c r="Q66" i="3"/>
  <c r="I66" i="3"/>
  <c r="AC65" i="3"/>
  <c r="U65" i="3"/>
  <c r="M65" i="3"/>
  <c r="E65" i="3"/>
  <c r="Y64" i="3"/>
  <c r="Q64" i="3"/>
  <c r="I64" i="3"/>
  <c r="AC63" i="3"/>
  <c r="U63" i="3"/>
  <c r="M63" i="3"/>
  <c r="E63" i="3"/>
  <c r="Y62" i="3"/>
  <c r="Q62" i="3"/>
  <c r="I62" i="3"/>
  <c r="AC61" i="3"/>
  <c r="U61" i="3"/>
  <c r="M61" i="3"/>
  <c r="E61" i="3"/>
  <c r="Y60" i="3"/>
  <c r="Q60" i="3"/>
  <c r="I60" i="3"/>
  <c r="AC59" i="3"/>
  <c r="U59" i="3"/>
  <c r="M59" i="3"/>
  <c r="E59" i="3"/>
  <c r="Y58" i="3"/>
  <c r="Q58" i="3"/>
  <c r="I58" i="3"/>
  <c r="AC57" i="3"/>
  <c r="U57" i="3"/>
  <c r="M57" i="3"/>
  <c r="E57" i="3"/>
  <c r="Y56" i="3"/>
  <c r="Q56" i="3"/>
  <c r="I56" i="3"/>
  <c r="AC55" i="3"/>
  <c r="U55" i="3"/>
  <c r="M55" i="3"/>
  <c r="E55" i="3"/>
  <c r="Y54" i="3"/>
  <c r="Q54" i="3"/>
  <c r="I54" i="3"/>
  <c r="AC53" i="3"/>
  <c r="U53" i="3"/>
  <c r="M53" i="3"/>
  <c r="E53" i="3"/>
  <c r="Y52" i="3"/>
  <c r="Q52" i="3"/>
  <c r="I52" i="3"/>
  <c r="AC51" i="3"/>
  <c r="U51" i="3"/>
  <c r="M51" i="3"/>
  <c r="E51" i="3"/>
  <c r="Y50" i="3"/>
  <c r="Q50" i="3"/>
  <c r="I50" i="3"/>
  <c r="AC49" i="3"/>
  <c r="U49" i="3"/>
  <c r="M49" i="3"/>
  <c r="E49" i="3"/>
  <c r="Y48" i="3"/>
  <c r="Q48" i="3"/>
  <c r="I48" i="3"/>
  <c r="AC47" i="3"/>
  <c r="U47" i="3"/>
  <c r="M47" i="3"/>
  <c r="E47" i="3"/>
  <c r="Y46" i="3"/>
  <c r="Q46" i="3"/>
  <c r="I46" i="3"/>
  <c r="AC45" i="3"/>
  <c r="U45" i="3"/>
  <c r="M45" i="3"/>
  <c r="E45" i="3"/>
  <c r="Y44" i="3"/>
  <c r="Q44" i="3"/>
  <c r="I44" i="3"/>
  <c r="AC43" i="3"/>
  <c r="U43" i="3"/>
  <c r="M43" i="3"/>
  <c r="E43" i="3"/>
  <c r="Y42" i="3"/>
  <c r="Q42" i="3"/>
  <c r="I42" i="3"/>
  <c r="AC41" i="3"/>
  <c r="U41" i="3"/>
  <c r="M41" i="3"/>
  <c r="E41" i="3"/>
  <c r="Y40" i="3"/>
  <c r="Q40" i="3"/>
  <c r="I40" i="3"/>
  <c r="AC39" i="3"/>
  <c r="U39" i="3"/>
  <c r="M39" i="3"/>
  <c r="E39" i="3"/>
  <c r="Y38" i="3"/>
  <c r="Q38" i="3"/>
  <c r="I38" i="3"/>
  <c r="AC37" i="3"/>
  <c r="U37" i="3"/>
  <c r="M37" i="3"/>
  <c r="E37" i="3"/>
  <c r="Y36" i="3"/>
  <c r="Q36" i="3"/>
  <c r="I36" i="3"/>
  <c r="AC35" i="3"/>
  <c r="U35" i="3"/>
  <c r="M35" i="3"/>
  <c r="E35" i="3"/>
  <c r="Y34" i="3"/>
  <c r="Q34" i="3"/>
  <c r="I34" i="3"/>
  <c r="AC33" i="3"/>
  <c r="U33" i="3"/>
  <c r="M33" i="3"/>
  <c r="E33" i="3"/>
  <c r="Y32" i="3"/>
  <c r="Q32" i="3"/>
  <c r="I32" i="3"/>
  <c r="AC31" i="3"/>
  <c r="U31" i="3"/>
  <c r="M31" i="3"/>
  <c r="Z30" i="3"/>
  <c r="E30" i="3"/>
  <c r="J29" i="3"/>
  <c r="R28" i="3"/>
  <c r="Y27" i="3"/>
  <c r="AD26" i="3"/>
  <c r="J26" i="3"/>
  <c r="Q25" i="3"/>
  <c r="V24" i="3"/>
  <c r="AD23" i="3"/>
  <c r="I23" i="3"/>
  <c r="N22" i="3"/>
  <c r="V21" i="3"/>
  <c r="AC20" i="3"/>
  <c r="F20" i="3"/>
  <c r="N19" i="3"/>
  <c r="U18" i="3"/>
  <c r="Z17" i="3"/>
  <c r="F17" i="3"/>
  <c r="M16" i="3"/>
  <c r="R15" i="3"/>
  <c r="Z14" i="3"/>
  <c r="E14" i="3"/>
  <c r="J13" i="3"/>
  <c r="R12" i="3"/>
  <c r="Y11" i="3"/>
  <c r="AD10" i="3"/>
  <c r="J10" i="3"/>
  <c r="Q9" i="3"/>
  <c r="V8" i="3"/>
  <c r="AD7" i="3"/>
  <c r="I7" i="3"/>
  <c r="AN58" i="3"/>
  <c r="AF58" i="3"/>
  <c r="AV57" i="3"/>
  <c r="AN57" i="3"/>
  <c r="AF57" i="3"/>
  <c r="AV56" i="3"/>
  <c r="AN56" i="3"/>
  <c r="AF56" i="3"/>
  <c r="AV55" i="3"/>
  <c r="AN55" i="3"/>
  <c r="AF55" i="3"/>
  <c r="AV54" i="3"/>
  <c r="AN54" i="3"/>
  <c r="AF54" i="3"/>
  <c r="AV53" i="3"/>
  <c r="AN53" i="3"/>
  <c r="AF53" i="3"/>
  <c r="AV52" i="3"/>
  <c r="AN52" i="3"/>
  <c r="AF52" i="3"/>
  <c r="AV51" i="3"/>
  <c r="AN51" i="3"/>
  <c r="AF51" i="3"/>
  <c r="AV50" i="3"/>
  <c r="AN50" i="3"/>
  <c r="AF50" i="3"/>
  <c r="AV49" i="3"/>
  <c r="AN49" i="3"/>
  <c r="AF49" i="3"/>
  <c r="AV48" i="3"/>
  <c r="AN48" i="3"/>
  <c r="AF48" i="3"/>
  <c r="AV47" i="3"/>
  <c r="AM47" i="3"/>
  <c r="AX46" i="3"/>
  <c r="AL46" i="3"/>
  <c r="AV45" i="3"/>
  <c r="AJ45" i="3"/>
  <c r="AU44" i="3"/>
  <c r="AH44" i="3"/>
  <c r="AT43" i="3"/>
  <c r="AF43" i="3"/>
  <c r="AR42" i="3"/>
  <c r="AE42" i="3"/>
  <c r="AP41" i="3"/>
  <c r="BB40" i="3"/>
  <c r="AN40" i="3"/>
  <c r="AZ39" i="3"/>
  <c r="AM39" i="3"/>
  <c r="AX38" i="3"/>
  <c r="AL38" i="3"/>
  <c r="AV37" i="3"/>
  <c r="AJ37" i="3"/>
  <c r="AU36" i="3"/>
  <c r="AH36" i="3"/>
  <c r="AT35" i="3"/>
  <c r="AE35" i="3"/>
  <c r="AJ34" i="3"/>
  <c r="AM33" i="3"/>
  <c r="AQ32" i="3"/>
  <c r="AU31" i="3"/>
  <c r="AV30" i="3"/>
  <c r="AY29" i="3"/>
  <c r="AU28" i="3"/>
  <c r="AT27" i="3"/>
  <c r="AT26" i="3"/>
  <c r="AQ25" i="3"/>
  <c r="AQ24" i="3"/>
  <c r="AM23" i="3"/>
  <c r="AL22" i="3"/>
  <c r="AL21" i="3"/>
  <c r="AI20" i="3"/>
  <c r="AI19" i="3"/>
  <c r="AE18" i="3"/>
  <c r="BB16" i="3"/>
  <c r="BB15" i="3"/>
  <c r="AY14" i="3"/>
  <c r="AY13" i="3"/>
  <c r="AU12" i="3"/>
  <c r="AQ11" i="3"/>
  <c r="AI10" i="3"/>
  <c r="AE7" i="3"/>
  <c r="AR7" i="3"/>
  <c r="AZ8" i="3"/>
  <c r="AE10" i="3"/>
  <c r="AU10" i="3"/>
  <c r="AM11" i="3"/>
  <c r="AE12" i="3"/>
  <c r="AZ7" i="3"/>
  <c r="AJ9" i="3"/>
  <c r="AJ10" i="3"/>
  <c r="AZ10" i="3"/>
  <c r="AR11" i="3"/>
  <c r="AJ12" i="3"/>
  <c r="AZ12" i="3"/>
  <c r="AR13" i="3"/>
  <c r="AJ14" i="3"/>
  <c r="AZ14" i="3"/>
  <c r="AR15" i="3"/>
  <c r="AJ16" i="3"/>
  <c r="AZ16" i="3"/>
  <c r="AR17" i="3"/>
  <c r="AJ18" i="3"/>
  <c r="AZ18" i="3"/>
  <c r="AR19" i="3"/>
  <c r="AJ20" i="3"/>
  <c r="AZ20" i="3"/>
  <c r="AR21" i="3"/>
  <c r="AJ22" i="3"/>
  <c r="AZ22" i="3"/>
  <c r="AR23" i="3"/>
  <c r="AJ24" i="3"/>
  <c r="AZ24" i="3"/>
  <c r="AR25" i="3"/>
  <c r="AJ26" i="3"/>
  <c r="AZ26" i="3"/>
  <c r="AR27" i="3"/>
  <c r="AJ28" i="3"/>
  <c r="AZ28" i="3"/>
  <c r="AR29" i="3"/>
  <c r="AJ30" i="3"/>
  <c r="AY30" i="3"/>
  <c r="AM31" i="3"/>
  <c r="AZ31" i="3"/>
  <c r="AN32" i="3"/>
  <c r="BB32" i="3"/>
  <c r="AQ33" i="3"/>
  <c r="AE34" i="3"/>
  <c r="AR34" i="3"/>
  <c r="AF35" i="3"/>
  <c r="AO35" i="3"/>
  <c r="AW35" i="3"/>
  <c r="AG36" i="3"/>
  <c r="AO36" i="3"/>
  <c r="AW36" i="3"/>
  <c r="AG37" i="3"/>
  <c r="AO37" i="3"/>
  <c r="AW37" i="3"/>
  <c r="AG38" i="3"/>
  <c r="AO38" i="3"/>
  <c r="AW38" i="3"/>
  <c r="AG39" i="3"/>
  <c r="AO39" i="3"/>
  <c r="AW39" i="3"/>
  <c r="AG40" i="3"/>
  <c r="AO40" i="3"/>
  <c r="AW40" i="3"/>
  <c r="AG41" i="3"/>
  <c r="AO41" i="3"/>
  <c r="AW41" i="3"/>
  <c r="AG42" i="3"/>
  <c r="AO42" i="3"/>
  <c r="AW42" i="3"/>
  <c r="AG43" i="3"/>
  <c r="AO43" i="3"/>
  <c r="AW43" i="3"/>
  <c r="AG44" i="3"/>
  <c r="AO44" i="3"/>
  <c r="AW44" i="3"/>
  <c r="AG45" i="3"/>
  <c r="AO45" i="3"/>
  <c r="AW45" i="3"/>
  <c r="AG46" i="3"/>
  <c r="AO46" i="3"/>
  <c r="AW46" i="3"/>
  <c r="AG47" i="3"/>
  <c r="AO47" i="3"/>
  <c r="AJ8" i="3"/>
  <c r="AR9" i="3"/>
  <c r="AM10" i="3"/>
  <c r="AE11" i="3"/>
  <c r="AU11" i="3"/>
  <c r="AM12" i="3"/>
  <c r="AE13" i="3"/>
  <c r="AU13" i="3"/>
  <c r="AM14" i="3"/>
  <c r="AE15" i="3"/>
  <c r="AU15" i="3"/>
  <c r="AM16" i="3"/>
  <c r="AE17" i="3"/>
  <c r="AU17" i="3"/>
  <c r="AM18" i="3"/>
  <c r="AE19" i="3"/>
  <c r="AU19" i="3"/>
  <c r="AM20" i="3"/>
  <c r="AE21" i="3"/>
  <c r="AU21" i="3"/>
  <c r="AM22" i="3"/>
  <c r="AE23" i="3"/>
  <c r="AU23" i="3"/>
  <c r="AM24" i="3"/>
  <c r="AE25" i="3"/>
  <c r="AU25" i="3"/>
  <c r="AM26" i="3"/>
  <c r="AE27" i="3"/>
  <c r="AU27" i="3"/>
  <c r="AM28" i="3"/>
  <c r="AE29" i="3"/>
  <c r="AU29" i="3"/>
  <c r="AM30" i="3"/>
  <c r="BB30" i="3"/>
  <c r="AQ31" i="3"/>
  <c r="AE32" i="3"/>
  <c r="AR32" i="3"/>
  <c r="AG33" i="3"/>
  <c r="AT33" i="3"/>
  <c r="AI34" i="3"/>
  <c r="AU34" i="3"/>
  <c r="AI35" i="3"/>
  <c r="AQ35" i="3"/>
  <c r="AY35" i="3"/>
  <c r="AI36" i="3"/>
  <c r="AQ36" i="3"/>
  <c r="AY36" i="3"/>
  <c r="AI37" i="3"/>
  <c r="AQ37" i="3"/>
  <c r="AY37" i="3"/>
  <c r="AI38" i="3"/>
  <c r="AQ38" i="3"/>
  <c r="AY38" i="3"/>
  <c r="AI39" i="3"/>
  <c r="AQ39" i="3"/>
  <c r="AY39" i="3"/>
  <c r="AI40" i="3"/>
  <c r="AQ40" i="3"/>
  <c r="AY40" i="3"/>
  <c r="AI41" i="3"/>
  <c r="AQ41" i="3"/>
  <c r="AY41" i="3"/>
  <c r="AI42" i="3"/>
  <c r="AQ42" i="3"/>
  <c r="AY42" i="3"/>
  <c r="AI43" i="3"/>
  <c r="AQ43" i="3"/>
  <c r="AY43" i="3"/>
  <c r="AI44" i="3"/>
  <c r="AQ44" i="3"/>
  <c r="AY44" i="3"/>
  <c r="AI45" i="3"/>
  <c r="AQ45" i="3"/>
  <c r="AY45" i="3"/>
  <c r="AI46" i="3"/>
  <c r="AQ46" i="3"/>
  <c r="AY46" i="3"/>
  <c r="AI47" i="3"/>
  <c r="AJ7" i="3"/>
  <c r="AR8" i="3"/>
  <c r="AZ9" i="3"/>
  <c r="AR10" i="3"/>
  <c r="AJ11" i="3"/>
  <c r="AZ11" i="3"/>
  <c r="AR12" i="3"/>
  <c r="AJ13" i="3"/>
  <c r="AZ13" i="3"/>
  <c r="AR14" i="3"/>
  <c r="AJ15" i="3"/>
  <c r="AZ15" i="3"/>
  <c r="AR16" i="3"/>
  <c r="AJ17" i="3"/>
  <c r="AZ17" i="3"/>
  <c r="AR18" i="3"/>
  <c r="AJ19" i="3"/>
  <c r="AZ19" i="3"/>
  <c r="AR20" i="3"/>
  <c r="AJ21" i="3"/>
  <c r="AZ21" i="3"/>
  <c r="AR22" i="3"/>
  <c r="AJ23" i="3"/>
  <c r="AZ23" i="3"/>
  <c r="AR24" i="3"/>
  <c r="AJ25" i="3"/>
  <c r="AZ25" i="3"/>
  <c r="AR26" i="3"/>
  <c r="AJ27" i="3"/>
  <c r="AZ27" i="3"/>
  <c r="AR28" i="3"/>
  <c r="AJ29" i="3"/>
  <c r="AZ29" i="3"/>
  <c r="AR30" i="3"/>
  <c r="AF31" i="3"/>
  <c r="AT31" i="3"/>
  <c r="AI32" i="3"/>
  <c r="AU32" i="3"/>
  <c r="AJ33" i="3"/>
  <c r="AW33" i="3"/>
  <c r="AL34" i="3"/>
  <c r="AY34" i="3"/>
  <c r="AK35" i="3"/>
  <c r="AS35" i="3"/>
  <c r="BA35" i="3"/>
  <c r="AK36" i="3"/>
  <c r="AS36" i="3"/>
  <c r="BA36" i="3"/>
  <c r="AK37" i="3"/>
  <c r="AS37" i="3"/>
  <c r="BA37" i="3"/>
  <c r="AK38" i="3"/>
  <c r="AS38" i="3"/>
  <c r="BA38" i="3"/>
  <c r="AK39" i="3"/>
  <c r="AS39" i="3"/>
  <c r="BA39" i="3"/>
  <c r="AK40" i="3"/>
  <c r="AS40" i="3"/>
  <c r="BA40" i="3"/>
  <c r="AK41" i="3"/>
  <c r="AS41" i="3"/>
  <c r="BA41" i="3"/>
  <c r="AK42" i="3"/>
  <c r="AS42" i="3"/>
  <c r="BA42" i="3"/>
  <c r="AK43" i="3"/>
  <c r="AS43" i="3"/>
  <c r="BA43" i="3"/>
  <c r="AK44" i="3"/>
  <c r="AS44" i="3"/>
  <c r="BA44" i="3"/>
  <c r="AK45" i="3"/>
  <c r="AS45" i="3"/>
  <c r="BA45" i="3"/>
  <c r="AK46" i="3"/>
  <c r="AS46" i="3"/>
  <c r="BA46" i="3"/>
  <c r="AK47" i="3"/>
  <c r="AR58" i="3"/>
  <c r="AJ58" i="3"/>
  <c r="AZ57" i="3"/>
  <c r="AR57" i="3"/>
  <c r="AJ57" i="3"/>
  <c r="AZ56" i="3"/>
  <c r="AR56" i="3"/>
  <c r="AJ56" i="3"/>
  <c r="AZ55" i="3"/>
  <c r="AR55" i="3"/>
  <c r="AJ55" i="3"/>
  <c r="AZ54" i="3"/>
  <c r="AR54" i="3"/>
  <c r="AJ54" i="3"/>
  <c r="AZ53" i="3"/>
  <c r="AR53" i="3"/>
  <c r="AJ53" i="3"/>
  <c r="AZ52" i="3"/>
  <c r="AR52" i="3"/>
  <c r="AJ52" i="3"/>
  <c r="AZ51" i="3"/>
  <c r="AR51" i="3"/>
  <c r="AJ51" i="3"/>
  <c r="AZ50" i="3"/>
  <c r="AR50" i="3"/>
  <c r="AJ50" i="3"/>
  <c r="AZ49" i="3"/>
  <c r="AR49" i="3"/>
  <c r="AJ49" i="3"/>
  <c r="AZ48" i="3"/>
  <c r="AR48" i="3"/>
  <c r="AJ48" i="3"/>
  <c r="AZ47" i="3"/>
  <c r="AR47" i="3"/>
  <c r="AF47" i="3"/>
  <c r="AR46" i="3"/>
  <c r="AE46" i="3"/>
  <c r="AP45" i="3"/>
  <c r="BB44" i="3"/>
  <c r="AN44" i="3"/>
  <c r="AZ43" i="3"/>
  <c r="AM43" i="3"/>
  <c r="AX42" i="3"/>
  <c r="AL42" i="3"/>
  <c r="AV41" i="3"/>
  <c r="AJ41" i="3"/>
  <c r="AU40" i="3"/>
  <c r="AH40" i="3"/>
  <c r="AT39" i="3"/>
  <c r="AF39" i="3"/>
  <c r="AR38" i="3"/>
  <c r="AE38" i="3"/>
  <c r="AP37" i="3"/>
  <c r="BB36" i="3"/>
  <c r="AN36" i="3"/>
  <c r="AZ35" i="3"/>
  <c r="AM35" i="3"/>
  <c r="AT34" i="3"/>
  <c r="AY33" i="3"/>
  <c r="AZ32" i="3"/>
  <c r="AF32" i="3"/>
  <c r="AJ31" i="3"/>
  <c r="AL30" i="3"/>
  <c r="AL29" i="3"/>
  <c r="AI28" i="3"/>
  <c r="AI27" i="3"/>
  <c r="AE26" i="3"/>
  <c r="BB24" i="3"/>
  <c r="BB23" i="3"/>
  <c r="AY22" i="3"/>
  <c r="AY21" i="3"/>
  <c r="AU20" i="3"/>
  <c r="AT19" i="3"/>
  <c r="AT18" i="3"/>
  <c r="AQ17" i="3"/>
  <c r="AQ16" i="3"/>
  <c r="AM15" i="3"/>
  <c r="AL14" i="3"/>
  <c r="AL13" i="3"/>
  <c r="AI12" i="3"/>
  <c r="AY10" i="3"/>
  <c r="BB8" i="3"/>
  <c r="BA34" i="3"/>
  <c r="AS34" i="3"/>
  <c r="AK34" i="3"/>
  <c r="BA33" i="3"/>
  <c r="AS33" i="3"/>
  <c r="AK33" i="3"/>
  <c r="BA32" i="3"/>
  <c r="AS32" i="3"/>
  <c r="AK32" i="3"/>
  <c r="BA31" i="3"/>
  <c r="AS31" i="3"/>
  <c r="AK31" i="3"/>
  <c r="BA30" i="3"/>
  <c r="AS30" i="3"/>
  <c r="AK30" i="3"/>
  <c r="BA29" i="3"/>
  <c r="AS29" i="3"/>
  <c r="AK29" i="3"/>
  <c r="BA28" i="3"/>
  <c r="AS28" i="3"/>
  <c r="AK28" i="3"/>
  <c r="BA27" i="3"/>
  <c r="AS27" i="3"/>
  <c r="AK27" i="3"/>
  <c r="BA26" i="3"/>
  <c r="AS26" i="3"/>
  <c r="AK26" i="3"/>
  <c r="BA25" i="3"/>
  <c r="AS25" i="3"/>
  <c r="AK25" i="3"/>
  <c r="BA24" i="3"/>
  <c r="AS24" i="3"/>
  <c r="AK24" i="3"/>
  <c r="BA23" i="3"/>
  <c r="AS23" i="3"/>
  <c r="AK23" i="3"/>
  <c r="BA22" i="3"/>
  <c r="AS22" i="3"/>
  <c r="AK22" i="3"/>
  <c r="BA21" i="3"/>
  <c r="AS21" i="3"/>
  <c r="AK21" i="3"/>
  <c r="BA20" i="3"/>
  <c r="AS20" i="3"/>
  <c r="AK20" i="3"/>
  <c r="BA19" i="3"/>
  <c r="AS19" i="3"/>
  <c r="AK19" i="3"/>
  <c r="BA18" i="3"/>
  <c r="AS18" i="3"/>
  <c r="AK18" i="3"/>
  <c r="BA17" i="3"/>
  <c r="AS17" i="3"/>
  <c r="AK17" i="3"/>
  <c r="BA16" i="3"/>
  <c r="AS16" i="3"/>
  <c r="AK16" i="3"/>
  <c r="BA15" i="3"/>
  <c r="AS15" i="3"/>
  <c r="AK15" i="3"/>
  <c r="BA14" i="3"/>
  <c r="AS14" i="3"/>
  <c r="AK14" i="3"/>
  <c r="BA13" i="3"/>
  <c r="AS13" i="3"/>
  <c r="AK13" i="3"/>
  <c r="BA12" i="3"/>
  <c r="AS12" i="3"/>
  <c r="AK12" i="3"/>
  <c r="BA11" i="3"/>
  <c r="AS11" i="3"/>
  <c r="AK11" i="3"/>
  <c r="BA10" i="3"/>
  <c r="AS10" i="3"/>
  <c r="AK10" i="3"/>
  <c r="BA9" i="3"/>
  <c r="AS9" i="3"/>
  <c r="AK9" i="3"/>
  <c r="BA8" i="3"/>
  <c r="AS8" i="3"/>
  <c r="AK8" i="3"/>
  <c r="BA7" i="3"/>
  <c r="AS7" i="3"/>
  <c r="AK7" i="3"/>
  <c r="AY9" i="3"/>
  <c r="AQ9" i="3"/>
  <c r="AI9" i="3"/>
  <c r="AY8" i="3"/>
  <c r="AQ8" i="3"/>
  <c r="AI8" i="3"/>
  <c r="AY7" i="3"/>
  <c r="AQ7" i="3"/>
  <c r="AI7" i="3"/>
  <c r="AH35" i="3"/>
  <c r="AX34" i="3"/>
  <c r="AP34" i="3"/>
  <c r="AH34" i="3"/>
  <c r="AX33" i="3"/>
  <c r="AP33" i="3"/>
  <c r="AH33" i="3"/>
  <c r="AX32" i="3"/>
  <c r="AP32" i="3"/>
  <c r="AH32" i="3"/>
  <c r="AX31" i="3"/>
  <c r="AP31" i="3"/>
  <c r="AH31" i="3"/>
  <c r="AX30" i="3"/>
  <c r="AP30" i="3"/>
  <c r="AH30" i="3"/>
  <c r="AX29" i="3"/>
  <c r="AP29" i="3"/>
  <c r="AH29" i="3"/>
  <c r="AX28" i="3"/>
  <c r="AP28" i="3"/>
  <c r="AH28" i="3"/>
  <c r="AX27" i="3"/>
  <c r="AP27" i="3"/>
  <c r="AH27" i="3"/>
  <c r="AX26" i="3"/>
  <c r="AP26" i="3"/>
  <c r="AH26" i="3"/>
  <c r="AX25" i="3"/>
  <c r="AP25" i="3"/>
  <c r="AH25" i="3"/>
  <c r="AX24" i="3"/>
  <c r="AP24" i="3"/>
  <c r="AH24" i="3"/>
  <c r="AX23" i="3"/>
  <c r="AP23" i="3"/>
  <c r="AH23" i="3"/>
  <c r="AX22" i="3"/>
  <c r="AP22" i="3"/>
  <c r="AH22" i="3"/>
  <c r="AX21" i="3"/>
  <c r="AP21" i="3"/>
  <c r="AH21" i="3"/>
  <c r="AX20" i="3"/>
  <c r="AP20" i="3"/>
  <c r="AH20" i="3"/>
  <c r="AX19" i="3"/>
  <c r="AP19" i="3"/>
  <c r="AH19" i="3"/>
  <c r="AX18" i="3"/>
  <c r="AP18" i="3"/>
  <c r="AH18" i="3"/>
  <c r="AX17" i="3"/>
  <c r="AP17" i="3"/>
  <c r="AH17" i="3"/>
  <c r="AX16" i="3"/>
  <c r="AP16" i="3"/>
  <c r="AH16" i="3"/>
  <c r="AX15" i="3"/>
  <c r="AP15" i="3"/>
  <c r="AH15" i="3"/>
  <c r="AX14" i="3"/>
  <c r="AP14" i="3"/>
  <c r="AH14" i="3"/>
  <c r="AX13" i="3"/>
  <c r="AP13" i="3"/>
  <c r="AH13" i="3"/>
  <c r="AX12" i="3"/>
  <c r="AP12" i="3"/>
  <c r="AH12" i="3"/>
  <c r="AX11" i="3"/>
  <c r="AP11" i="3"/>
  <c r="AH11" i="3"/>
  <c r="AX10" i="3"/>
  <c r="AP10" i="3"/>
  <c r="AH10" i="3"/>
  <c r="AX9" i="3"/>
  <c r="AP9" i="3"/>
  <c r="AH9" i="3"/>
  <c r="AX8" i="3"/>
  <c r="AP8" i="3"/>
  <c r="AH8" i="3"/>
  <c r="AX7" i="3"/>
  <c r="AP7" i="3"/>
  <c r="AH7" i="3"/>
  <c r="AO32" i="3"/>
  <c r="AG32" i="3"/>
  <c r="AW31" i="3"/>
  <c r="AO31" i="3"/>
  <c r="AG31" i="3"/>
  <c r="AW30" i="3"/>
  <c r="AO30" i="3"/>
  <c r="AG30" i="3"/>
  <c r="AW29" i="3"/>
  <c r="AO29" i="3"/>
  <c r="AG29" i="3"/>
  <c r="AW28" i="3"/>
  <c r="AO28" i="3"/>
  <c r="AG28" i="3"/>
  <c r="AW27" i="3"/>
  <c r="AO27" i="3"/>
  <c r="AG27" i="3"/>
  <c r="AW26" i="3"/>
  <c r="AO26" i="3"/>
  <c r="AG26" i="3"/>
  <c r="AW25" i="3"/>
  <c r="AO25" i="3"/>
  <c r="AG25" i="3"/>
  <c r="AW24" i="3"/>
  <c r="AO24" i="3"/>
  <c r="AG24" i="3"/>
  <c r="AW23" i="3"/>
  <c r="AO23" i="3"/>
  <c r="AG23" i="3"/>
  <c r="AW22" i="3"/>
  <c r="AO22" i="3"/>
  <c r="AG22" i="3"/>
  <c r="AW21" i="3"/>
  <c r="AO21" i="3"/>
  <c r="AG21" i="3"/>
  <c r="AW20" i="3"/>
  <c r="AO20" i="3"/>
  <c r="AG20" i="3"/>
  <c r="AW19" i="3"/>
  <c r="AO19" i="3"/>
  <c r="AG19" i="3"/>
  <c r="AW18" i="3"/>
  <c r="AO18" i="3"/>
  <c r="AG18" i="3"/>
  <c r="AW17" i="3"/>
  <c r="AO17" i="3"/>
  <c r="AG17" i="3"/>
  <c r="AW16" i="3"/>
  <c r="AO16" i="3"/>
  <c r="AG16" i="3"/>
  <c r="AW15" i="3"/>
  <c r="AO15" i="3"/>
  <c r="AG15" i="3"/>
  <c r="AW14" i="3"/>
  <c r="AO14" i="3"/>
  <c r="AG14" i="3"/>
  <c r="AW13" i="3"/>
  <c r="AO13" i="3"/>
  <c r="AG13" i="3"/>
  <c r="AW12" i="3"/>
  <c r="AO12" i="3"/>
  <c r="AG12" i="3"/>
  <c r="AW11" i="3"/>
  <c r="AO11" i="3"/>
  <c r="AG11" i="3"/>
  <c r="AW10" i="3"/>
  <c r="AO10" i="3"/>
  <c r="AG10" i="3"/>
  <c r="AW9" i="3"/>
  <c r="AO9" i="3"/>
  <c r="AG9" i="3"/>
  <c r="AW8" i="3"/>
  <c r="AO8" i="3"/>
  <c r="AG8" i="3"/>
  <c r="AW7" i="3"/>
  <c r="AO7" i="3"/>
  <c r="AG7" i="3"/>
  <c r="AV34" i="3"/>
  <c r="AN34" i="3"/>
  <c r="AF34" i="3"/>
  <c r="AV33" i="3"/>
  <c r="AN33" i="3"/>
  <c r="AF33" i="3"/>
  <c r="AV32" i="3"/>
  <c r="AN30" i="3"/>
  <c r="AF30" i="3"/>
  <c r="AV29" i="3"/>
  <c r="AN29" i="3"/>
  <c r="AF29" i="3"/>
  <c r="AV28" i="3"/>
  <c r="AN28" i="3"/>
  <c r="AF28" i="3"/>
  <c r="AV27" i="3"/>
  <c r="AN27" i="3"/>
  <c r="AF27" i="3"/>
  <c r="AV26" i="3"/>
  <c r="AN26" i="3"/>
  <c r="AF26" i="3"/>
  <c r="AV25" i="3"/>
  <c r="AN25" i="3"/>
  <c r="AF25" i="3"/>
  <c r="AV24" i="3"/>
  <c r="AN24" i="3"/>
  <c r="AF24" i="3"/>
  <c r="AV23" i="3"/>
  <c r="AN23" i="3"/>
  <c r="AF23" i="3"/>
  <c r="AV22" i="3"/>
  <c r="AN22" i="3"/>
  <c r="AF22" i="3"/>
  <c r="AV21" i="3"/>
  <c r="AN21" i="3"/>
  <c r="AF21" i="3"/>
  <c r="AV20" i="3"/>
  <c r="AN20" i="3"/>
  <c r="AF20" i="3"/>
  <c r="AV19" i="3"/>
  <c r="AN19" i="3"/>
  <c r="AF19" i="3"/>
  <c r="AV18" i="3"/>
  <c r="AN18" i="3"/>
  <c r="AF18" i="3"/>
  <c r="AV17" i="3"/>
  <c r="AN17" i="3"/>
  <c r="AF17" i="3"/>
  <c r="AV16" i="3"/>
  <c r="AN16" i="3"/>
  <c r="AF16" i="3"/>
  <c r="AV15" i="3"/>
  <c r="AN15" i="3"/>
  <c r="AF15" i="3"/>
  <c r="AV14" i="3"/>
  <c r="AN14" i="3"/>
  <c r="AF14" i="3"/>
  <c r="AV13" i="3"/>
  <c r="AN13" i="3"/>
  <c r="AF13" i="3"/>
  <c r="AV12" i="3"/>
  <c r="AN12" i="3"/>
  <c r="AF12" i="3"/>
  <c r="AV11" i="3"/>
  <c r="AN11" i="3"/>
  <c r="AF11" i="3"/>
  <c r="AV10" i="3"/>
  <c r="AN10" i="3"/>
  <c r="AF10" i="3"/>
  <c r="AV9" i="3"/>
  <c r="AN9" i="3"/>
  <c r="AF9" i="3"/>
  <c r="AV8" i="3"/>
  <c r="AN8" i="3"/>
  <c r="AF8" i="3"/>
  <c r="AV7" i="3"/>
  <c r="AN7" i="3"/>
  <c r="AF7" i="3"/>
  <c r="AU9" i="3"/>
  <c r="AM9" i="3"/>
  <c r="AE9" i="3"/>
  <c r="AU8" i="3"/>
  <c r="AM8" i="3"/>
  <c r="AE8" i="3"/>
  <c r="AU7" i="3"/>
  <c r="AM7" i="3"/>
  <c r="H31" i="3"/>
  <c r="AB30" i="3"/>
  <c r="T30" i="3"/>
  <c r="L30" i="3"/>
  <c r="D30" i="3"/>
  <c r="X29" i="3"/>
  <c r="P29" i="3"/>
  <c r="H29" i="3"/>
  <c r="AB28" i="3"/>
  <c r="T28" i="3"/>
  <c r="L28" i="3"/>
  <c r="D28" i="3"/>
  <c r="X27" i="3"/>
  <c r="P27" i="3"/>
  <c r="H27" i="3"/>
  <c r="AB26" i="3"/>
  <c r="T26" i="3"/>
  <c r="L26" i="3"/>
  <c r="D26" i="3"/>
  <c r="X25" i="3"/>
  <c r="P25" i="3"/>
  <c r="H25" i="3"/>
  <c r="AB24" i="3"/>
  <c r="T24" i="3"/>
  <c r="L24" i="3"/>
  <c r="D24" i="3"/>
  <c r="X23" i="3"/>
  <c r="P23" i="3"/>
  <c r="H23" i="3"/>
  <c r="AB22" i="3"/>
  <c r="T22" i="3"/>
  <c r="L22" i="3"/>
  <c r="D22" i="3"/>
  <c r="X21" i="3"/>
  <c r="P21" i="3"/>
  <c r="H21" i="3"/>
  <c r="AB20" i="3"/>
  <c r="T20" i="3"/>
  <c r="L20" i="3"/>
  <c r="D20" i="3"/>
  <c r="X19" i="3"/>
  <c r="P19" i="3"/>
  <c r="H19" i="3"/>
  <c r="AB18" i="3"/>
  <c r="T18" i="3"/>
  <c r="L18" i="3"/>
  <c r="D18" i="3"/>
  <c r="X17" i="3"/>
  <c r="P17" i="3"/>
  <c r="H17" i="3"/>
  <c r="AB16" i="3"/>
  <c r="T16" i="3"/>
  <c r="L16" i="3"/>
  <c r="D16" i="3"/>
  <c r="X15" i="3"/>
  <c r="P15" i="3"/>
  <c r="H15" i="3"/>
  <c r="AB14" i="3"/>
  <c r="T14" i="3"/>
  <c r="L14" i="3"/>
  <c r="D14" i="3"/>
  <c r="X13" i="3"/>
  <c r="P13" i="3"/>
  <c r="H13" i="3"/>
  <c r="AB12" i="3"/>
  <c r="T12" i="3"/>
  <c r="L12" i="3"/>
  <c r="D12" i="3"/>
  <c r="X11" i="3"/>
  <c r="P11" i="3"/>
  <c r="H11" i="3"/>
  <c r="AB10" i="3"/>
  <c r="T10" i="3"/>
  <c r="L10" i="3"/>
  <c r="D10" i="3"/>
  <c r="X9" i="3"/>
  <c r="P9" i="3"/>
  <c r="H9" i="3"/>
  <c r="AB8" i="3"/>
  <c r="T8" i="3"/>
  <c r="L8" i="3"/>
  <c r="D8" i="3"/>
  <c r="X7" i="3"/>
  <c r="P7" i="3"/>
  <c r="H7" i="3"/>
  <c r="G31" i="3"/>
  <c r="AA30" i="3"/>
  <c r="S30" i="3"/>
  <c r="K30" i="3"/>
  <c r="C30" i="3"/>
  <c r="W29" i="3"/>
  <c r="O29" i="3"/>
  <c r="G29" i="3"/>
  <c r="AA28" i="3"/>
  <c r="S28" i="3"/>
  <c r="K28" i="3"/>
  <c r="C28" i="3"/>
  <c r="W27" i="3"/>
  <c r="O27" i="3"/>
  <c r="G27" i="3"/>
  <c r="AA26" i="3"/>
  <c r="S26" i="3"/>
  <c r="K26" i="3"/>
  <c r="C26" i="3"/>
  <c r="W25" i="3"/>
  <c r="O25" i="3"/>
  <c r="G25" i="3"/>
  <c r="AA24" i="3"/>
  <c r="S24" i="3"/>
  <c r="K24" i="3"/>
  <c r="C24" i="3"/>
  <c r="W23" i="3"/>
  <c r="O23" i="3"/>
  <c r="G23" i="3"/>
  <c r="AA22" i="3"/>
  <c r="S22" i="3"/>
  <c r="K22" i="3"/>
  <c r="C22" i="3"/>
  <c r="W21" i="3"/>
  <c r="O21" i="3"/>
  <c r="G21" i="3"/>
  <c r="AA20" i="3"/>
  <c r="S20" i="3"/>
  <c r="K20" i="3"/>
  <c r="C20" i="3"/>
  <c r="W19" i="3"/>
  <c r="O19" i="3"/>
  <c r="G19" i="3"/>
  <c r="AA18" i="3"/>
  <c r="S18" i="3"/>
  <c r="K18" i="3"/>
  <c r="C18" i="3"/>
  <c r="W17" i="3"/>
  <c r="O17" i="3"/>
  <c r="G17" i="3"/>
  <c r="AA16" i="3"/>
  <c r="S16" i="3"/>
  <c r="K16" i="3"/>
  <c r="C16" i="3"/>
  <c r="W15" i="3"/>
  <c r="O15" i="3"/>
  <c r="G15" i="3"/>
  <c r="AA14" i="3"/>
  <c r="S14" i="3"/>
  <c r="K14" i="3"/>
  <c r="C14" i="3"/>
  <c r="W13" i="3"/>
  <c r="O13" i="3"/>
  <c r="G13" i="3"/>
  <c r="AA12" i="3"/>
  <c r="S12" i="3"/>
  <c r="K12" i="3"/>
  <c r="C12" i="3"/>
  <c r="W11" i="3"/>
  <c r="O11" i="3"/>
  <c r="G11" i="3"/>
  <c r="AA10" i="3"/>
  <c r="S10" i="3"/>
  <c r="K10" i="3"/>
  <c r="C10" i="3"/>
  <c r="W9" i="3"/>
  <c r="O9" i="3"/>
  <c r="G9" i="3"/>
  <c r="AA8" i="3"/>
  <c r="S8" i="3"/>
  <c r="K8" i="3"/>
  <c r="C8" i="3"/>
  <c r="W7" i="3"/>
  <c r="O7" i="3"/>
  <c r="G7" i="3"/>
  <c r="E31" i="3"/>
  <c r="Y30" i="3"/>
  <c r="Q30" i="3"/>
  <c r="I30" i="3"/>
  <c r="AC29" i="3"/>
  <c r="U29" i="3"/>
  <c r="M29" i="3"/>
  <c r="E29" i="3"/>
  <c r="Y28" i="3"/>
  <c r="Q28" i="3"/>
  <c r="I28" i="3"/>
  <c r="AC27" i="3"/>
  <c r="U27" i="3"/>
  <c r="M27" i="3"/>
  <c r="E27" i="3"/>
  <c r="Y26" i="3"/>
  <c r="Q26" i="3"/>
  <c r="I26" i="3"/>
  <c r="AC25" i="3"/>
  <c r="U25" i="3"/>
  <c r="M25" i="3"/>
  <c r="E25" i="3"/>
  <c r="Y24" i="3"/>
  <c r="Q24" i="3"/>
  <c r="I24" i="3"/>
  <c r="AC23" i="3"/>
  <c r="U23" i="3"/>
  <c r="M23" i="3"/>
  <c r="E23" i="3"/>
  <c r="Y22" i="3"/>
  <c r="Q22" i="3"/>
  <c r="I22" i="3"/>
  <c r="AC21" i="3"/>
  <c r="U21" i="3"/>
  <c r="M21" i="3"/>
  <c r="E21" i="3"/>
  <c r="Y20" i="3"/>
  <c r="Q20" i="3"/>
  <c r="I20" i="3"/>
  <c r="AC19" i="3"/>
  <c r="U19" i="3"/>
  <c r="M19" i="3"/>
  <c r="E19" i="3"/>
  <c r="Y18" i="3"/>
  <c r="Q18" i="3"/>
  <c r="I18" i="3"/>
  <c r="AC17" i="3"/>
  <c r="U17" i="3"/>
  <c r="M17" i="3"/>
  <c r="E17" i="3"/>
  <c r="Y16" i="3"/>
  <c r="Q16" i="3"/>
  <c r="I16" i="3"/>
  <c r="AC15" i="3"/>
  <c r="U15" i="3"/>
  <c r="M15" i="3"/>
  <c r="E15" i="3"/>
  <c r="Y14" i="3"/>
  <c r="Q14" i="3"/>
  <c r="I14" i="3"/>
  <c r="AC13" i="3"/>
  <c r="U13" i="3"/>
  <c r="M13" i="3"/>
  <c r="E13" i="3"/>
  <c r="Y12" i="3"/>
  <c r="Q12" i="3"/>
  <c r="I12" i="3"/>
  <c r="AC11" i="3"/>
  <c r="U11" i="3"/>
  <c r="M11" i="3"/>
  <c r="E11" i="3"/>
  <c r="Y10" i="3"/>
  <c r="Q10" i="3"/>
  <c r="I10" i="3"/>
  <c r="AC9" i="3"/>
  <c r="U9" i="3"/>
  <c r="M9" i="3"/>
  <c r="E9" i="3"/>
  <c r="Y8" i="3"/>
  <c r="Q8" i="3"/>
  <c r="I8" i="3"/>
  <c r="AC7" i="3"/>
  <c r="U7" i="3"/>
  <c r="M7" i="3"/>
  <c r="E7" i="3"/>
  <c r="D31" i="3"/>
  <c r="X30" i="3"/>
  <c r="P30" i="3"/>
  <c r="H30" i="3"/>
  <c r="AB29" i="3"/>
  <c r="T29" i="3"/>
  <c r="L29" i="3"/>
  <c r="D29" i="3"/>
  <c r="X28" i="3"/>
  <c r="P28" i="3"/>
  <c r="H28" i="3"/>
  <c r="AB27" i="3"/>
  <c r="T27" i="3"/>
  <c r="L27" i="3"/>
  <c r="D27" i="3"/>
  <c r="X26" i="3"/>
  <c r="P26" i="3"/>
  <c r="H26" i="3"/>
  <c r="AB25" i="3"/>
  <c r="T25" i="3"/>
  <c r="L25" i="3"/>
  <c r="D25" i="3"/>
  <c r="X24" i="3"/>
  <c r="P24" i="3"/>
  <c r="H24" i="3"/>
  <c r="AB23" i="3"/>
  <c r="T23" i="3"/>
  <c r="L23" i="3"/>
  <c r="D23" i="3"/>
  <c r="X22" i="3"/>
  <c r="P22" i="3"/>
  <c r="H22" i="3"/>
  <c r="AB21" i="3"/>
  <c r="T21" i="3"/>
  <c r="L21" i="3"/>
  <c r="D21" i="3"/>
  <c r="X20" i="3"/>
  <c r="P20" i="3"/>
  <c r="H20" i="3"/>
  <c r="AB19" i="3"/>
  <c r="T19" i="3"/>
  <c r="L19" i="3"/>
  <c r="D19" i="3"/>
  <c r="X18" i="3"/>
  <c r="P18" i="3"/>
  <c r="H18" i="3"/>
  <c r="AB17" i="3"/>
  <c r="T17" i="3"/>
  <c r="L17" i="3"/>
  <c r="D17" i="3"/>
  <c r="X16" i="3"/>
  <c r="P16" i="3"/>
  <c r="H16" i="3"/>
  <c r="AB15" i="3"/>
  <c r="T15" i="3"/>
  <c r="L15" i="3"/>
  <c r="D15" i="3"/>
  <c r="X14" i="3"/>
  <c r="P14" i="3"/>
  <c r="H14" i="3"/>
  <c r="AB13" i="3"/>
  <c r="T13" i="3"/>
  <c r="L13" i="3"/>
  <c r="D13" i="3"/>
  <c r="X12" i="3"/>
  <c r="P12" i="3"/>
  <c r="H12" i="3"/>
  <c r="AB11" i="3"/>
  <c r="T11" i="3"/>
  <c r="L11" i="3"/>
  <c r="D11" i="3"/>
  <c r="X10" i="3"/>
  <c r="P10" i="3"/>
  <c r="H10" i="3"/>
  <c r="AB9" i="3"/>
  <c r="T9" i="3"/>
  <c r="L9" i="3"/>
  <c r="D9" i="3"/>
  <c r="X8" i="3"/>
  <c r="P8" i="3"/>
  <c r="H8" i="3"/>
  <c r="AB7" i="3"/>
  <c r="T7" i="3"/>
  <c r="L7" i="3"/>
  <c r="D7" i="3"/>
  <c r="C31" i="3"/>
  <c r="W30" i="3"/>
  <c r="O30" i="3"/>
  <c r="G30" i="3"/>
  <c r="AA29" i="3"/>
  <c r="S29" i="3"/>
  <c r="K29" i="3"/>
  <c r="C29" i="3"/>
  <c r="W28" i="3"/>
  <c r="O28" i="3"/>
  <c r="G28" i="3"/>
  <c r="AA27" i="3"/>
  <c r="S27" i="3"/>
  <c r="K27" i="3"/>
  <c r="C27" i="3"/>
  <c r="W26" i="3"/>
  <c r="O26" i="3"/>
  <c r="G26" i="3"/>
  <c r="AA25" i="3"/>
  <c r="S25" i="3"/>
  <c r="K25" i="3"/>
  <c r="C25" i="3"/>
  <c r="W24" i="3"/>
  <c r="O24" i="3"/>
  <c r="G24" i="3"/>
  <c r="AA23" i="3"/>
  <c r="S23" i="3"/>
  <c r="K23" i="3"/>
  <c r="C23" i="3"/>
  <c r="W22" i="3"/>
  <c r="O22" i="3"/>
  <c r="G22" i="3"/>
  <c r="AA21" i="3"/>
  <c r="S21" i="3"/>
  <c r="K21" i="3"/>
  <c r="C21" i="3"/>
  <c r="W20" i="3"/>
  <c r="O20" i="3"/>
  <c r="G20" i="3"/>
  <c r="AA19" i="3"/>
  <c r="S19" i="3"/>
  <c r="K19" i="3"/>
  <c r="C19" i="3"/>
  <c r="W18" i="3"/>
  <c r="O18" i="3"/>
  <c r="G18" i="3"/>
  <c r="AA17" i="3"/>
  <c r="S17" i="3"/>
  <c r="K17" i="3"/>
  <c r="C17" i="3"/>
  <c r="W16" i="3"/>
  <c r="O16" i="3"/>
  <c r="G16" i="3"/>
  <c r="AA15" i="3"/>
  <c r="S15" i="3"/>
  <c r="K15" i="3"/>
  <c r="C15" i="3"/>
  <c r="W14" i="3"/>
  <c r="O14" i="3"/>
  <c r="G14" i="3"/>
  <c r="AA13" i="3"/>
  <c r="S13" i="3"/>
  <c r="K13" i="3"/>
  <c r="C13" i="3"/>
  <c r="W12" i="3"/>
  <c r="O12" i="3"/>
  <c r="G12" i="3"/>
  <c r="AA11" i="3"/>
  <c r="S11" i="3"/>
  <c r="K11" i="3"/>
  <c r="C11" i="3"/>
  <c r="W10" i="3"/>
  <c r="O10" i="3"/>
  <c r="G10" i="3"/>
  <c r="AA9" i="3"/>
  <c r="S9" i="3"/>
  <c r="K9" i="3"/>
  <c r="C9" i="3"/>
  <c r="W8" i="3"/>
  <c r="O8" i="3"/>
  <c r="G8" i="3"/>
  <c r="AA7" i="3"/>
  <c r="S7" i="3"/>
  <c r="K7" i="3"/>
  <c r="AI13" i="1"/>
  <c r="AH13" i="1"/>
  <c r="AI7" i="1"/>
  <c r="AH7" i="1"/>
  <c r="AG7" i="1"/>
  <c r="AF7" i="1"/>
  <c r="F6" i="3" l="1"/>
  <c r="AM6" i="3"/>
  <c r="V6" i="3"/>
  <c r="R6" i="3"/>
  <c r="Z6" i="3"/>
  <c r="J6" i="3"/>
  <c r="N6" i="3"/>
  <c r="P6" i="3"/>
  <c r="M6" i="3"/>
  <c r="AL6" i="3"/>
  <c r="AD6" i="3"/>
  <c r="AI6" i="3"/>
  <c r="AJ6" i="3"/>
  <c r="AR6" i="3"/>
  <c r="AU6" i="3"/>
  <c r="AQ6" i="3"/>
  <c r="AT6" i="3"/>
  <c r="AY6" i="3"/>
  <c r="AZ6" i="3"/>
  <c r="AE6" i="3"/>
  <c r="BB6" i="3"/>
  <c r="AP6" i="3"/>
  <c r="AX6" i="3"/>
  <c r="AG6" i="3"/>
  <c r="AO6" i="3"/>
  <c r="AF6" i="3"/>
  <c r="AW6" i="3"/>
  <c r="AK6" i="3"/>
  <c r="AN6" i="3"/>
  <c r="AV6" i="3"/>
  <c r="AS6" i="3"/>
  <c r="AH6" i="3"/>
  <c r="BA6" i="3"/>
  <c r="X6" i="3"/>
  <c r="U6" i="3"/>
  <c r="K6" i="3"/>
  <c r="G6" i="3"/>
  <c r="AC6" i="3"/>
  <c r="S6" i="3"/>
  <c r="AB6" i="3"/>
  <c r="O6" i="3"/>
  <c r="AA6" i="3"/>
  <c r="W6" i="3"/>
  <c r="I6" i="3"/>
  <c r="Q6" i="3"/>
  <c r="D6" i="3"/>
  <c r="C6" i="3"/>
  <c r="Y6" i="3"/>
  <c r="L6" i="3"/>
  <c r="H6" i="3"/>
  <c r="E6" i="3"/>
  <c r="T6" i="3"/>
  <c r="E103" i="26"/>
  <c r="N49" i="26"/>
  <c r="L49" i="26"/>
  <c r="J49" i="26"/>
  <c r="H49" i="26"/>
  <c r="E49" i="26"/>
  <c r="C46" i="25"/>
  <c r="B46" i="25"/>
  <c r="A46" i="25" s="1"/>
  <c r="D57" i="28" l="1"/>
  <c r="N103" i="26" l="1"/>
  <c r="P5" i="12"/>
  <c r="B28" i="24"/>
  <c r="B30" i="24" s="1"/>
  <c r="E81" i="28"/>
  <c r="E47" i="28"/>
  <c r="A9" i="17" l="1"/>
  <c r="I7" i="6"/>
  <c r="A8" i="6"/>
  <c r="B49" i="24"/>
  <c r="D47" i="28"/>
  <c r="BC7" i="3" s="1" a="1"/>
  <c r="AD6" i="27"/>
  <c r="AC6" i="27"/>
  <c r="AB6" i="27"/>
  <c r="AA6" i="27"/>
  <c r="Z6" i="27"/>
  <c r="Y6" i="27"/>
  <c r="X6" i="27"/>
  <c r="W6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D6" i="27"/>
  <c r="C6" i="27"/>
  <c r="N6" i="28"/>
  <c r="M6" i="28"/>
  <c r="L6" i="28"/>
  <c r="J6" i="28"/>
  <c r="I6" i="28"/>
  <c r="H6" i="28"/>
  <c r="G6" i="28"/>
  <c r="F6" i="28"/>
  <c r="E6" i="28"/>
  <c r="C6" i="28"/>
  <c r="K6" i="28" s="1"/>
  <c r="N20" i="26"/>
  <c r="L20" i="26"/>
  <c r="J20" i="26"/>
  <c r="H20" i="26"/>
  <c r="E20" i="26"/>
  <c r="N17" i="26"/>
  <c r="L17" i="26"/>
  <c r="J17" i="26"/>
  <c r="H17" i="26"/>
  <c r="E17" i="26"/>
  <c r="N15" i="26"/>
  <c r="L15" i="26"/>
  <c r="J15" i="26"/>
  <c r="H15" i="26"/>
  <c r="E15" i="26"/>
  <c r="N9" i="26"/>
  <c r="L9" i="26"/>
  <c r="J9" i="26"/>
  <c r="H9" i="26"/>
  <c r="E9" i="26"/>
  <c r="E100" i="26"/>
  <c r="E101" i="26"/>
  <c r="E102" i="26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A97" i="25" s="1"/>
  <c r="B99" i="25"/>
  <c r="A98" i="25" s="1"/>
  <c r="B100" i="25"/>
  <c r="A99" i="25" s="1"/>
  <c r="B5" i="25"/>
  <c r="A5" i="25" s="1"/>
  <c r="N10" i="26"/>
  <c r="N11" i="26"/>
  <c r="N12" i="26"/>
  <c r="N13" i="26"/>
  <c r="N14" i="26"/>
  <c r="N16" i="26"/>
  <c r="N19" i="26"/>
  <c r="N21" i="26"/>
  <c r="N22" i="26"/>
  <c r="N23" i="26"/>
  <c r="N24" i="26"/>
  <c r="N27" i="26"/>
  <c r="N28" i="26"/>
  <c r="N29" i="26"/>
  <c r="N30" i="26"/>
  <c r="N31" i="26"/>
  <c r="N32" i="26"/>
  <c r="N35" i="26"/>
  <c r="N36" i="26"/>
  <c r="N39" i="26"/>
  <c r="N40" i="26"/>
  <c r="N41" i="26"/>
  <c r="N42" i="26"/>
  <c r="N43" i="26"/>
  <c r="N44" i="26"/>
  <c r="N45" i="26"/>
  <c r="N46" i="26"/>
  <c r="N47" i="26"/>
  <c r="N48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L10" i="26"/>
  <c r="L11" i="26"/>
  <c r="L12" i="26"/>
  <c r="L13" i="26"/>
  <c r="L14" i="26"/>
  <c r="L16" i="26"/>
  <c r="L19" i="26"/>
  <c r="L21" i="26"/>
  <c r="L22" i="26"/>
  <c r="L23" i="26"/>
  <c r="L24" i="26"/>
  <c r="L27" i="26"/>
  <c r="L28" i="26"/>
  <c r="L29" i="26"/>
  <c r="L30" i="26"/>
  <c r="L31" i="26"/>
  <c r="L32" i="26"/>
  <c r="L35" i="26"/>
  <c r="L36" i="26"/>
  <c r="L39" i="26"/>
  <c r="L40" i="26"/>
  <c r="L41" i="26"/>
  <c r="L42" i="26"/>
  <c r="L43" i="26"/>
  <c r="L44" i="26"/>
  <c r="L45" i="26"/>
  <c r="L46" i="26"/>
  <c r="L47" i="26"/>
  <c r="L48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J10" i="26"/>
  <c r="J11" i="26"/>
  <c r="J12" i="26"/>
  <c r="J13" i="26"/>
  <c r="J14" i="26"/>
  <c r="J16" i="26"/>
  <c r="J19" i="26"/>
  <c r="J21" i="26"/>
  <c r="J22" i="26"/>
  <c r="J23" i="26"/>
  <c r="J24" i="26"/>
  <c r="J27" i="26"/>
  <c r="J28" i="26"/>
  <c r="J29" i="26"/>
  <c r="J30" i="26"/>
  <c r="J31" i="26"/>
  <c r="J32" i="26"/>
  <c r="J35" i="26"/>
  <c r="J36" i="26"/>
  <c r="J39" i="26"/>
  <c r="J40" i="26"/>
  <c r="J41" i="26"/>
  <c r="J42" i="26"/>
  <c r="J43" i="26"/>
  <c r="J44" i="26"/>
  <c r="J45" i="26"/>
  <c r="J46" i="26"/>
  <c r="J47" i="26"/>
  <c r="J48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H10" i="26"/>
  <c r="H11" i="26"/>
  <c r="H12" i="26"/>
  <c r="H13" i="26"/>
  <c r="H14" i="26"/>
  <c r="H16" i="26"/>
  <c r="H19" i="26"/>
  <c r="H21" i="26"/>
  <c r="H22" i="26"/>
  <c r="H23" i="26"/>
  <c r="H24" i="26"/>
  <c r="H27" i="26"/>
  <c r="H28" i="26"/>
  <c r="H29" i="26"/>
  <c r="H30" i="26"/>
  <c r="H31" i="26"/>
  <c r="H32" i="26"/>
  <c r="H35" i="26"/>
  <c r="H36" i="26"/>
  <c r="H39" i="26"/>
  <c r="H40" i="26"/>
  <c r="H41" i="26"/>
  <c r="H42" i="26"/>
  <c r="H43" i="26"/>
  <c r="H44" i="26"/>
  <c r="H45" i="26"/>
  <c r="H46" i="26"/>
  <c r="H47" i="26"/>
  <c r="H48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AD6" i="29"/>
  <c r="AC6" i="29"/>
  <c r="AB6" i="29"/>
  <c r="AA6" i="29"/>
  <c r="Z6" i="29"/>
  <c r="Y6" i="29"/>
  <c r="X6" i="29"/>
  <c r="W6" i="29"/>
  <c r="V6" i="29"/>
  <c r="U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C6" i="29"/>
  <c r="BC7" i="3" l="1"/>
  <c r="BD17" i="3"/>
  <c r="BD33" i="3"/>
  <c r="BD49" i="3"/>
  <c r="BD65" i="3"/>
  <c r="BD81" i="3"/>
  <c r="BD97" i="3"/>
  <c r="BD21" i="3"/>
  <c r="BD37" i="3"/>
  <c r="BD53" i="3"/>
  <c r="BD69" i="3"/>
  <c r="BD85" i="3"/>
  <c r="BD101" i="3"/>
  <c r="BD9" i="3"/>
  <c r="BD25" i="3"/>
  <c r="BD41" i="3"/>
  <c r="BD57" i="3"/>
  <c r="BD73" i="3"/>
  <c r="BD89" i="3"/>
  <c r="BD105" i="3"/>
  <c r="BD13" i="3"/>
  <c r="BD29" i="3"/>
  <c r="BD45" i="3"/>
  <c r="BD61" i="3"/>
  <c r="BD77" i="3"/>
  <c r="BD93" i="3"/>
  <c r="BD34" i="3"/>
  <c r="BD66" i="3"/>
  <c r="BD98" i="3"/>
  <c r="BD10" i="3"/>
  <c r="BD42" i="3"/>
  <c r="BD74" i="3"/>
  <c r="BD18" i="3"/>
  <c r="BD50" i="3"/>
  <c r="BD82" i="3"/>
  <c r="BD38" i="3"/>
  <c r="BD90" i="3"/>
  <c r="BD46" i="3"/>
  <c r="BD94" i="3"/>
  <c r="BD54" i="3"/>
  <c r="BD102" i="3"/>
  <c r="BD14" i="3"/>
  <c r="BD62" i="3"/>
  <c r="BD22" i="3"/>
  <c r="BD70" i="3"/>
  <c r="BD26" i="3"/>
  <c r="BD78" i="3"/>
  <c r="BD30" i="3"/>
  <c r="BD58" i="3"/>
  <c r="BD86" i="3"/>
  <c r="BC102" i="3"/>
  <c r="BC70" i="3"/>
  <c r="BC38" i="3"/>
  <c r="BC105" i="3"/>
  <c r="BC73" i="3"/>
  <c r="BC41" i="3"/>
  <c r="BC9" i="3"/>
  <c r="BD76" i="3"/>
  <c r="BD44" i="3"/>
  <c r="BD12" i="3"/>
  <c r="BC80" i="3"/>
  <c r="BC48" i="3"/>
  <c r="BC16" i="3"/>
  <c r="BD83" i="3"/>
  <c r="BD51" i="3"/>
  <c r="BD19" i="3"/>
  <c r="BC87" i="3"/>
  <c r="BC55" i="3"/>
  <c r="BC23" i="3"/>
  <c r="BC98" i="3"/>
  <c r="BC66" i="3"/>
  <c r="BC34" i="3"/>
  <c r="BC101" i="3"/>
  <c r="BC69" i="3"/>
  <c r="BC37" i="3"/>
  <c r="BD104" i="3"/>
  <c r="BD72" i="3"/>
  <c r="BD40" i="3"/>
  <c r="BD8" i="3"/>
  <c r="BC76" i="3"/>
  <c r="BC44" i="3"/>
  <c r="BC12" i="3"/>
  <c r="BD79" i="3"/>
  <c r="BD47" i="3"/>
  <c r="BD15" i="3"/>
  <c r="BC83" i="3"/>
  <c r="BC51" i="3"/>
  <c r="BC19" i="3"/>
  <c r="BD24" i="3"/>
  <c r="BC94" i="3"/>
  <c r="BC62" i="3"/>
  <c r="BC30" i="3"/>
  <c r="BC97" i="3"/>
  <c r="BC65" i="3"/>
  <c r="BC33" i="3"/>
  <c r="BD100" i="3"/>
  <c r="BD68" i="3"/>
  <c r="BD36" i="3"/>
  <c r="BC104" i="3"/>
  <c r="BC72" i="3"/>
  <c r="BC40" i="3"/>
  <c r="BC8" i="3"/>
  <c r="BD75" i="3"/>
  <c r="BD43" i="3"/>
  <c r="BD11" i="3"/>
  <c r="BC79" i="3"/>
  <c r="BC47" i="3"/>
  <c r="BC15" i="3"/>
  <c r="BD88" i="3"/>
  <c r="BC90" i="3"/>
  <c r="BC58" i="3"/>
  <c r="BC26" i="3"/>
  <c r="BC93" i="3"/>
  <c r="BC61" i="3"/>
  <c r="BC29" i="3"/>
  <c r="BD96" i="3"/>
  <c r="BD64" i="3"/>
  <c r="BD32" i="3"/>
  <c r="BC100" i="3"/>
  <c r="BC68" i="3"/>
  <c r="BC36" i="3"/>
  <c r="BD103" i="3"/>
  <c r="BD71" i="3"/>
  <c r="BD39" i="3"/>
  <c r="BD7" i="3"/>
  <c r="BC75" i="3"/>
  <c r="BC43" i="3"/>
  <c r="BC11" i="3"/>
  <c r="BC86" i="3"/>
  <c r="BC54" i="3"/>
  <c r="BC22" i="3"/>
  <c r="BC89" i="3"/>
  <c r="BC57" i="3"/>
  <c r="BC25" i="3"/>
  <c r="BD92" i="3"/>
  <c r="BD60" i="3"/>
  <c r="BD28" i="3"/>
  <c r="BC96" i="3"/>
  <c r="BC64" i="3"/>
  <c r="BC32" i="3"/>
  <c r="BD99" i="3"/>
  <c r="BD67" i="3"/>
  <c r="BD35" i="3"/>
  <c r="BC103" i="3"/>
  <c r="BC71" i="3"/>
  <c r="BC39" i="3"/>
  <c r="BC82" i="3"/>
  <c r="BC50" i="3"/>
  <c r="BC18" i="3"/>
  <c r="BC85" i="3"/>
  <c r="BC53" i="3"/>
  <c r="BC21" i="3"/>
  <c r="BD56" i="3"/>
  <c r="BC92" i="3"/>
  <c r="BC60" i="3"/>
  <c r="BC28" i="3"/>
  <c r="BD95" i="3"/>
  <c r="BD63" i="3"/>
  <c r="BD31" i="3"/>
  <c r="BC99" i="3"/>
  <c r="BC67" i="3"/>
  <c r="BC35" i="3"/>
  <c r="BC78" i="3"/>
  <c r="BC46" i="3"/>
  <c r="BC14" i="3"/>
  <c r="BC81" i="3"/>
  <c r="BC49" i="3"/>
  <c r="BC17" i="3"/>
  <c r="BD84" i="3"/>
  <c r="BD52" i="3"/>
  <c r="BD20" i="3"/>
  <c r="BC88" i="3"/>
  <c r="BC56" i="3"/>
  <c r="BC24" i="3"/>
  <c r="BD91" i="3"/>
  <c r="BD59" i="3"/>
  <c r="BD27" i="3"/>
  <c r="BC95" i="3"/>
  <c r="BC63" i="3"/>
  <c r="BC31" i="3"/>
  <c r="BC74" i="3"/>
  <c r="BC42" i="3"/>
  <c r="BC10" i="3"/>
  <c r="BC77" i="3"/>
  <c r="BC45" i="3"/>
  <c r="BC13" i="3"/>
  <c r="BD80" i="3"/>
  <c r="BD48" i="3"/>
  <c r="BD16" i="3"/>
  <c r="BC84" i="3"/>
  <c r="BC52" i="3"/>
  <c r="BC20" i="3"/>
  <c r="BD87" i="3"/>
  <c r="BD55" i="3"/>
  <c r="BD23" i="3"/>
  <c r="BC91" i="3"/>
  <c r="BC59" i="3"/>
  <c r="BC27" i="3"/>
  <c r="D6" i="28"/>
  <c r="P80" i="28"/>
  <c r="P82" i="28" s="1"/>
  <c r="P84" i="28" s="1"/>
  <c r="O80" i="28"/>
  <c r="O82" i="28" s="1"/>
  <c r="O84" i="28" s="1"/>
  <c r="BC6" i="3" l="1"/>
  <c r="BD6" i="3"/>
  <c r="O5" i="12"/>
  <c r="N5" i="12"/>
  <c r="M5" i="12"/>
  <c r="AE7" i="1"/>
  <c r="AD7" i="1"/>
  <c r="AC7" i="1"/>
  <c r="AB7" i="1"/>
  <c r="AA7" i="1"/>
  <c r="Z7" i="1"/>
  <c r="E99" i="26" l="1"/>
  <c r="A70" i="25"/>
  <c r="A71" i="25"/>
  <c r="A72" i="25"/>
  <c r="A73" i="25"/>
  <c r="A75" i="25"/>
  <c r="A76" i="25"/>
  <c r="A79" i="25"/>
  <c r="A81" i="25"/>
  <c r="A82" i="25"/>
  <c r="A83" i="25"/>
  <c r="A84" i="25"/>
  <c r="A86" i="25"/>
  <c r="A87" i="25"/>
  <c r="A88" i="25"/>
  <c r="A89" i="25"/>
  <c r="A90" i="25"/>
  <c r="A91" i="25"/>
  <c r="A92" i="25"/>
  <c r="A94" i="25"/>
  <c r="A95" i="25"/>
  <c r="A96" i="25"/>
  <c r="A36" i="25"/>
  <c r="A37" i="25"/>
  <c r="A38" i="25"/>
  <c r="A39" i="25"/>
  <c r="A41" i="25"/>
  <c r="A43" i="25"/>
  <c r="A44" i="25"/>
  <c r="A45" i="25"/>
  <c r="A47" i="25"/>
  <c r="A48" i="25"/>
  <c r="A52" i="25"/>
  <c r="A53" i="25"/>
  <c r="A54" i="25"/>
  <c r="A55" i="25"/>
  <c r="A56" i="25"/>
  <c r="A58" i="25"/>
  <c r="A59" i="25"/>
  <c r="A60" i="25"/>
  <c r="A61" i="25"/>
  <c r="A62" i="25"/>
  <c r="A63" i="25"/>
  <c r="A64" i="25"/>
  <c r="A66" i="25"/>
  <c r="A67" i="25"/>
  <c r="A68" i="25"/>
  <c r="A69" i="25"/>
  <c r="A74" i="25"/>
  <c r="A78" i="25"/>
  <c r="A33" i="25"/>
  <c r="A34" i="25"/>
  <c r="A35" i="25"/>
  <c r="A40" i="25"/>
  <c r="A49" i="25"/>
  <c r="A57" i="25"/>
  <c r="A65" i="25"/>
  <c r="A42" i="25"/>
  <c r="A50" i="25"/>
  <c r="A51" i="25"/>
  <c r="A77" i="25"/>
  <c r="A80" i="25"/>
  <c r="A85" i="25"/>
  <c r="A93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14" i="25"/>
  <c r="A15" i="25"/>
  <c r="L5" i="12" l="1"/>
  <c r="N24" i="17" l="1"/>
  <c r="N23" i="17"/>
  <c r="N22" i="17"/>
  <c r="N21" i="17"/>
  <c r="N20" i="17"/>
  <c r="N19" i="17"/>
  <c r="N18" i="17"/>
  <c r="N17" i="17"/>
  <c r="N16" i="17"/>
  <c r="O15" i="17"/>
  <c r="N14" i="17"/>
  <c r="N11" i="17"/>
  <c r="AL14" i="26"/>
  <c r="AL12" i="26"/>
  <c r="M14" i="6"/>
  <c r="N14" i="6" s="1"/>
  <c r="Y39" i="1"/>
  <c r="Y32" i="1"/>
  <c r="X32" i="1"/>
  <c r="X29" i="1"/>
  <c r="R8" i="26" a="1"/>
  <c r="R8" i="26" s="1"/>
  <c r="AE3" i="25"/>
  <c r="Y7" i="1"/>
  <c r="X7" i="1"/>
  <c r="M58" i="6"/>
  <c r="N58" i="6" s="1"/>
  <c r="M54" i="6"/>
  <c r="N54" i="6" s="1"/>
  <c r="M13" i="6"/>
  <c r="N13" i="6" s="1"/>
  <c r="AG18" i="26"/>
  <c r="N28" i="17" s="1"/>
  <c r="AG19" i="26"/>
  <c r="N39" i="17" s="1"/>
  <c r="AG22" i="26"/>
  <c r="N29" i="17" s="1"/>
  <c r="AG23" i="26"/>
  <c r="N30" i="17" s="1"/>
  <c r="AG24" i="26"/>
  <c r="N31" i="17" s="1"/>
  <c r="AG25" i="26"/>
  <c r="N32" i="17" s="1"/>
  <c r="AG26" i="26"/>
  <c r="N33" i="17" s="1"/>
  <c r="AG27" i="26"/>
  <c r="N47" i="17" s="1"/>
  <c r="AG28" i="26"/>
  <c r="N48" i="17" s="1"/>
  <c r="AG29" i="26"/>
  <c r="N49" i="17" s="1"/>
  <c r="AG30" i="26"/>
  <c r="M11" i="6" s="1"/>
  <c r="N11" i="6" s="1"/>
  <c r="O29" i="17" l="1"/>
  <c r="O49" i="17"/>
  <c r="O39" i="17"/>
  <c r="O18" i="17"/>
  <c r="O30" i="17"/>
  <c r="O17" i="17"/>
  <c r="O48" i="17"/>
  <c r="O28" i="17"/>
  <c r="O19" i="17"/>
  <c r="O20" i="17"/>
  <c r="O47" i="17"/>
  <c r="O11" i="17"/>
  <c r="O21" i="17"/>
  <c r="O32" i="17"/>
  <c r="O14" i="17"/>
  <c r="O22" i="17"/>
  <c r="O33" i="17"/>
  <c r="O31" i="17"/>
  <c r="O23" i="17"/>
  <c r="O16" i="17"/>
  <c r="O24" i="17"/>
  <c r="R63" i="26"/>
  <c r="Q63" i="26" s="1"/>
  <c r="R57" i="26"/>
  <c r="Q57" i="26" s="1"/>
  <c r="R25" i="26"/>
  <c r="Q25" i="26" s="1"/>
  <c r="R31" i="26"/>
  <c r="Q31" i="26" s="1"/>
  <c r="R55" i="26"/>
  <c r="Q55" i="26" s="1"/>
  <c r="R23" i="26"/>
  <c r="Q23" i="26" s="1"/>
  <c r="R49" i="26"/>
  <c r="Q49" i="26" s="1"/>
  <c r="R17" i="26"/>
  <c r="Q17" i="26" s="1"/>
  <c r="R47" i="26"/>
  <c r="Q47" i="26" s="1"/>
  <c r="R15" i="26"/>
  <c r="Q15" i="26" s="1"/>
  <c r="R39" i="26"/>
  <c r="Q39" i="26" s="1"/>
  <c r="R41" i="26"/>
  <c r="Q41" i="26" s="1"/>
  <c r="R9" i="26"/>
  <c r="Q9" i="26" s="1"/>
  <c r="R65" i="26"/>
  <c r="Q65" i="26" s="1"/>
  <c r="R33" i="26"/>
  <c r="Q33" i="26" s="1"/>
  <c r="M50" i="6"/>
  <c r="N50" i="6" s="1"/>
  <c r="M42" i="6"/>
  <c r="N42" i="6" s="1"/>
  <c r="M34" i="6"/>
  <c r="N34" i="6" s="1"/>
  <c r="M22" i="6"/>
  <c r="N22" i="6" s="1"/>
  <c r="M40" i="6"/>
  <c r="N40" i="6" s="1"/>
  <c r="M26" i="6"/>
  <c r="N26" i="6" s="1"/>
  <c r="M49" i="6"/>
  <c r="N49" i="6" s="1"/>
  <c r="M41" i="6"/>
  <c r="N41" i="6" s="1"/>
  <c r="M33" i="6"/>
  <c r="N33" i="6" s="1"/>
  <c r="M21" i="6"/>
  <c r="N21" i="6" s="1"/>
  <c r="M32" i="6"/>
  <c r="N32" i="6" s="1"/>
  <c r="M36" i="6"/>
  <c r="N36" i="6" s="1"/>
  <c r="M51" i="6"/>
  <c r="N51" i="6" s="1"/>
  <c r="M48" i="6"/>
  <c r="N48" i="6" s="1"/>
  <c r="M20" i="6"/>
  <c r="N20" i="6" s="1"/>
  <c r="M57" i="6"/>
  <c r="N57" i="6" s="1"/>
  <c r="M47" i="6"/>
  <c r="N47" i="6" s="1"/>
  <c r="M39" i="6"/>
  <c r="N39" i="6" s="1"/>
  <c r="M31" i="6"/>
  <c r="N31" i="6" s="1"/>
  <c r="M19" i="6"/>
  <c r="N19" i="6" s="1"/>
  <c r="M56" i="6"/>
  <c r="N56" i="6" s="1"/>
  <c r="M46" i="6"/>
  <c r="N46" i="6" s="1"/>
  <c r="M38" i="6"/>
  <c r="N38" i="6" s="1"/>
  <c r="M28" i="6"/>
  <c r="N28" i="6" s="1"/>
  <c r="M18" i="6"/>
  <c r="N18" i="6" s="1"/>
  <c r="M44" i="6"/>
  <c r="N44" i="6" s="1"/>
  <c r="M25" i="6"/>
  <c r="N25" i="6" s="1"/>
  <c r="M55" i="6"/>
  <c r="N55" i="6" s="1"/>
  <c r="M45" i="6"/>
  <c r="N45" i="6" s="1"/>
  <c r="M37" i="6"/>
  <c r="N37" i="6" s="1"/>
  <c r="M27" i="6"/>
  <c r="N27" i="6" s="1"/>
  <c r="M17" i="6"/>
  <c r="N17" i="6" s="1"/>
  <c r="M43" i="6"/>
  <c r="N43" i="6" s="1"/>
  <c r="M35" i="6"/>
  <c r="N35" i="6" s="1"/>
  <c r="R62" i="26"/>
  <c r="Q62" i="26" s="1"/>
  <c r="R54" i="26"/>
  <c r="Q54" i="26" s="1"/>
  <c r="R46" i="26"/>
  <c r="Q46" i="26" s="1"/>
  <c r="R38" i="26"/>
  <c r="Q38" i="26" s="1"/>
  <c r="R30" i="26"/>
  <c r="Q30" i="26" s="1"/>
  <c r="R22" i="26"/>
  <c r="Q22" i="26" s="1"/>
  <c r="R14" i="26"/>
  <c r="Q14" i="26" s="1"/>
  <c r="R61" i="26"/>
  <c r="Q61" i="26" s="1"/>
  <c r="R53" i="26"/>
  <c r="Q53" i="26" s="1"/>
  <c r="R45" i="26"/>
  <c r="Q45" i="26" s="1"/>
  <c r="R37" i="26"/>
  <c r="Q37" i="26" s="1"/>
  <c r="R29" i="26"/>
  <c r="Q29" i="26" s="1"/>
  <c r="R21" i="26"/>
  <c r="Q21" i="26" s="1"/>
  <c r="R13" i="26"/>
  <c r="Q13" i="26" s="1"/>
  <c r="R68" i="26"/>
  <c r="Q68" i="26" s="1"/>
  <c r="R60" i="26"/>
  <c r="Q60" i="26" s="1"/>
  <c r="R52" i="26"/>
  <c r="Q52" i="26" s="1"/>
  <c r="R44" i="26"/>
  <c r="Q44" i="26" s="1"/>
  <c r="R36" i="26"/>
  <c r="Q36" i="26" s="1"/>
  <c r="R28" i="26"/>
  <c r="Q28" i="26" s="1"/>
  <c r="R20" i="26"/>
  <c r="Q20" i="26" s="1"/>
  <c r="R12" i="26"/>
  <c r="Q12" i="26" s="1"/>
  <c r="R67" i="26"/>
  <c r="Q67" i="26" s="1"/>
  <c r="R59" i="26"/>
  <c r="Q59" i="26" s="1"/>
  <c r="R51" i="26"/>
  <c r="Q51" i="26" s="1"/>
  <c r="R43" i="26"/>
  <c r="Q43" i="26" s="1"/>
  <c r="R35" i="26"/>
  <c r="Q35" i="26" s="1"/>
  <c r="R27" i="26"/>
  <c r="Q27" i="26" s="1"/>
  <c r="R19" i="26"/>
  <c r="Q19" i="26" s="1"/>
  <c r="R11" i="26"/>
  <c r="Q11" i="26" s="1"/>
  <c r="R66" i="26"/>
  <c r="Q66" i="26" s="1"/>
  <c r="R58" i="26"/>
  <c r="Q58" i="26" s="1"/>
  <c r="R50" i="26"/>
  <c r="Q50" i="26" s="1"/>
  <c r="R42" i="26"/>
  <c r="Q42" i="26" s="1"/>
  <c r="R34" i="26"/>
  <c r="Q34" i="26" s="1"/>
  <c r="R26" i="26"/>
  <c r="Q26" i="26" s="1"/>
  <c r="R18" i="26"/>
  <c r="Q18" i="26" s="1"/>
  <c r="R10" i="26"/>
  <c r="Q10" i="26" s="1"/>
  <c r="R64" i="26"/>
  <c r="Q64" i="26" s="1"/>
  <c r="R56" i="26"/>
  <c r="Q56" i="26" s="1"/>
  <c r="R48" i="26"/>
  <c r="Q48" i="26" s="1"/>
  <c r="R40" i="26"/>
  <c r="Q40" i="26" s="1"/>
  <c r="R32" i="26"/>
  <c r="Q32" i="26" s="1"/>
  <c r="R24" i="26"/>
  <c r="Q24" i="26" s="1"/>
  <c r="R16" i="26"/>
  <c r="Q16" i="26" s="1"/>
  <c r="A1" i="17"/>
  <c r="N8" i="26"/>
  <c r="L8" i="26"/>
  <c r="J8" i="26"/>
  <c r="H8" i="26"/>
  <c r="Q8" i="26"/>
  <c r="E91" i="26"/>
  <c r="E92" i="26"/>
  <c r="E93" i="26"/>
  <c r="E94" i="26"/>
  <c r="E95" i="26"/>
  <c r="E96" i="26"/>
  <c r="E97" i="26"/>
  <c r="E98" i="26"/>
  <c r="E10" i="26"/>
  <c r="E11" i="26"/>
  <c r="E12" i="26"/>
  <c r="E13" i="26"/>
  <c r="E14" i="26"/>
  <c r="E16" i="26"/>
  <c r="E18" i="26"/>
  <c r="E19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8" i="26"/>
  <c r="A9" i="25"/>
  <c r="A10" i="25"/>
  <c r="A11" i="25"/>
  <c r="A12" i="25"/>
  <c r="A1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V3" i="25"/>
  <c r="W3" i="25"/>
  <c r="X3" i="25"/>
  <c r="Y3" i="25"/>
  <c r="Z3" i="25"/>
  <c r="AA3" i="25"/>
  <c r="AB3" i="25"/>
  <c r="AC3" i="25"/>
  <c r="AD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S3" i="25"/>
  <c r="AU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E3" i="25"/>
  <c r="A7" i="25"/>
  <c r="A8" i="25"/>
  <c r="A6" i="25"/>
  <c r="G5" i="1" l="1"/>
  <c r="D5" i="1"/>
  <c r="B24" i="24"/>
  <c r="B22" i="24"/>
  <c r="W7" i="1"/>
  <c r="V7" i="1"/>
  <c r="D38" i="1"/>
  <c r="D28" i="1"/>
  <c r="B37" i="1"/>
  <c r="D23" i="1"/>
  <c r="D43" i="1"/>
  <c r="D26" i="1"/>
  <c r="B20" i="1"/>
  <c r="B25" i="1"/>
  <c r="B34" i="1"/>
  <c r="G34" i="1"/>
  <c r="D33" i="1"/>
  <c r="G20" i="1"/>
  <c r="D19" i="1"/>
  <c r="D44" i="1"/>
  <c r="G45" i="1"/>
  <c r="G27" i="1"/>
  <c r="B31" i="1"/>
  <c r="G47" i="1"/>
  <c r="B14" i="1"/>
  <c r="G17" i="1"/>
  <c r="G36" i="1"/>
  <c r="B43" i="1"/>
  <c r="D25" i="1"/>
  <c r="B23" i="1"/>
  <c r="G28" i="1"/>
  <c r="D27" i="1"/>
  <c r="D46" i="1"/>
  <c r="D32" i="1"/>
  <c r="B18" i="1"/>
  <c r="G40" i="1"/>
  <c r="G29" i="1"/>
  <c r="D18" i="1"/>
  <c r="D40" i="1"/>
  <c r="B33" i="1"/>
  <c r="B15" i="1"/>
  <c r="G19" i="1"/>
  <c r="B26" i="1"/>
  <c r="D24" i="1"/>
  <c r="D31" i="1"/>
  <c r="B8" i="1"/>
  <c r="D17" i="1"/>
  <c r="B29" i="1"/>
  <c r="B41" i="1"/>
  <c r="B44" i="1"/>
  <c r="G18" i="1"/>
  <c r="D47" i="1"/>
  <c r="G37" i="1"/>
  <c r="B40" i="1"/>
  <c r="B36" i="1"/>
  <c r="D39" i="1"/>
  <c r="G21" i="1"/>
  <c r="D34" i="1"/>
  <c r="G23" i="1"/>
  <c r="G25" i="1"/>
  <c r="B35" i="1"/>
  <c r="B28" i="1"/>
  <c r="D37" i="1"/>
  <c r="G31" i="1"/>
  <c r="B24" i="1"/>
  <c r="G33" i="1"/>
  <c r="B17" i="1"/>
  <c r="B16" i="1"/>
  <c r="B22" i="1"/>
  <c r="D35" i="1"/>
  <c r="G42" i="1"/>
  <c r="D36" i="1"/>
  <c r="D22" i="1"/>
  <c r="B38" i="1"/>
  <c r="G35" i="1"/>
  <c r="G38" i="1"/>
  <c r="B19" i="1"/>
  <c r="G43" i="1"/>
  <c r="B9" i="1"/>
  <c r="G44" i="1"/>
  <c r="B27" i="1"/>
  <c r="G32" i="1"/>
  <c r="B47" i="1"/>
  <c r="D42" i="1"/>
  <c r="D45" i="1"/>
  <c r="D20" i="1"/>
  <c r="G46" i="1"/>
  <c r="G39" i="1"/>
  <c r="G26" i="1"/>
  <c r="B32" i="1"/>
  <c r="D21" i="1"/>
  <c r="G24" i="1"/>
  <c r="B46" i="1"/>
  <c r="G22" i="1"/>
  <c r="B30" i="1"/>
  <c r="G30" i="1"/>
  <c r="B39" i="1"/>
  <c r="B42" i="1"/>
  <c r="D29" i="1"/>
  <c r="B10" i="1"/>
  <c r="B45" i="1"/>
  <c r="B21" i="1"/>
  <c r="B13" i="1"/>
  <c r="B11" i="1"/>
  <c r="G41" i="1"/>
  <c r="D30" i="1"/>
  <c r="D41" i="1"/>
  <c r="C17" i="1" l="1"/>
  <c r="C40" i="1"/>
  <c r="C32" i="1"/>
  <c r="C24" i="1"/>
  <c r="C16" i="1"/>
  <c r="C25" i="1"/>
  <c r="C47" i="1"/>
  <c r="C39" i="1"/>
  <c r="C31" i="1"/>
  <c r="C23" i="1"/>
  <c r="C15" i="1"/>
  <c r="C33" i="1"/>
  <c r="C46" i="1"/>
  <c r="C38" i="1"/>
  <c r="C30" i="1"/>
  <c r="C22" i="1"/>
  <c r="C14" i="1"/>
  <c r="C45" i="1"/>
  <c r="C37" i="1"/>
  <c r="C29" i="1"/>
  <c r="C21" i="1"/>
  <c r="C13" i="1"/>
  <c r="C44" i="1"/>
  <c r="C36" i="1"/>
  <c r="C28" i="1"/>
  <c r="C20" i="1"/>
  <c r="C11" i="1"/>
  <c r="C43" i="1"/>
  <c r="C35" i="1"/>
  <c r="C27" i="1"/>
  <c r="C19" i="1"/>
  <c r="C10" i="1"/>
  <c r="C41" i="1"/>
  <c r="C42" i="1"/>
  <c r="C34" i="1"/>
  <c r="C26" i="1"/>
  <c r="C18" i="1"/>
  <c r="C9" i="1"/>
  <c r="C8" i="1"/>
  <c r="M7" i="1"/>
  <c r="N7" i="1"/>
  <c r="O7" i="1"/>
  <c r="P7" i="1"/>
  <c r="Q7" i="1"/>
  <c r="R7" i="1"/>
  <c r="S7" i="1"/>
  <c r="T7" i="1"/>
  <c r="U7" i="1"/>
  <c r="L7" i="1"/>
  <c r="B12" i="24"/>
  <c r="B13" i="24" s="1"/>
  <c r="M6" i="26" s="1"/>
  <c r="M77" i="26" s="1"/>
  <c r="B10" i="24"/>
  <c r="B11" i="24" s="1"/>
  <c r="I6" i="26" s="1"/>
  <c r="I77" i="26" s="1"/>
  <c r="I103" i="26" l="1"/>
  <c r="J103" i="26" s="1"/>
  <c r="I49" i="26"/>
  <c r="M103" i="26"/>
  <c r="M49" i="26"/>
  <c r="B31" i="24"/>
  <c r="I14" i="6" s="1"/>
  <c r="I17" i="26"/>
  <c r="I20" i="26"/>
  <c r="M17" i="26"/>
  <c r="M20" i="26"/>
  <c r="I9" i="26"/>
  <c r="I15" i="26"/>
  <c r="M9" i="26"/>
  <c r="M15" i="26"/>
  <c r="I102" i="26"/>
  <c r="J102" i="26" s="1"/>
  <c r="I101" i="26"/>
  <c r="I100" i="26"/>
  <c r="I99" i="26"/>
  <c r="M99" i="26"/>
  <c r="M100" i="26"/>
  <c r="M102" i="26"/>
  <c r="N102" i="26" s="1"/>
  <c r="M101" i="26"/>
  <c r="B25" i="24"/>
  <c r="F4" i="1" s="1"/>
  <c r="E7" i="1" s="1"/>
  <c r="B23" i="24"/>
  <c r="I4" i="1" s="1"/>
  <c r="H11" i="1" s="1"/>
  <c r="I98" i="26"/>
  <c r="I90" i="26"/>
  <c r="I82" i="26"/>
  <c r="I73" i="26"/>
  <c r="I65" i="26"/>
  <c r="I57" i="26"/>
  <c r="I48" i="26"/>
  <c r="I40" i="26"/>
  <c r="I32" i="26"/>
  <c r="I24" i="26"/>
  <c r="I13" i="26"/>
  <c r="I97" i="26"/>
  <c r="I89" i="26"/>
  <c r="I81" i="26"/>
  <c r="I72" i="26"/>
  <c r="I64" i="26"/>
  <c r="I56" i="26"/>
  <c r="I47" i="26"/>
  <c r="I39" i="26"/>
  <c r="I31" i="26"/>
  <c r="I23" i="26"/>
  <c r="I12" i="26"/>
  <c r="I96" i="26"/>
  <c r="I88" i="26"/>
  <c r="I80" i="26"/>
  <c r="I71" i="26"/>
  <c r="I63" i="26"/>
  <c r="I55" i="26"/>
  <c r="I46" i="26"/>
  <c r="I38" i="26"/>
  <c r="J38" i="26" s="1"/>
  <c r="I30" i="26"/>
  <c r="I22" i="26"/>
  <c r="I11" i="26"/>
  <c r="I95" i="26"/>
  <c r="I87" i="26"/>
  <c r="I79" i="26"/>
  <c r="I70" i="26"/>
  <c r="I62" i="26"/>
  <c r="I54" i="26"/>
  <c r="I45" i="26"/>
  <c r="I37" i="26"/>
  <c r="J37" i="26" s="1"/>
  <c r="I29" i="26"/>
  <c r="I21" i="26"/>
  <c r="I10" i="26"/>
  <c r="I94" i="26"/>
  <c r="I86" i="26"/>
  <c r="I78" i="26"/>
  <c r="I69" i="26"/>
  <c r="I61" i="26"/>
  <c r="I53" i="26"/>
  <c r="I44" i="26"/>
  <c r="I36" i="26"/>
  <c r="I28" i="26"/>
  <c r="I19" i="26"/>
  <c r="I8" i="26"/>
  <c r="I5" i="26"/>
  <c r="I92" i="26"/>
  <c r="I84" i="26"/>
  <c r="I75" i="26"/>
  <c r="I67" i="26"/>
  <c r="I59" i="26"/>
  <c r="I51" i="26"/>
  <c r="I42" i="26"/>
  <c r="I34" i="26"/>
  <c r="J34" i="26" s="1"/>
  <c r="I26" i="26"/>
  <c r="J26" i="26" s="1"/>
  <c r="I16" i="26"/>
  <c r="I66" i="26"/>
  <c r="I33" i="26"/>
  <c r="J33" i="26" s="1"/>
  <c r="I93" i="26"/>
  <c r="I60" i="26"/>
  <c r="I27" i="26"/>
  <c r="I85" i="26"/>
  <c r="I18" i="26"/>
  <c r="J18" i="26" s="1"/>
  <c r="I91" i="26"/>
  <c r="I58" i="26"/>
  <c r="I25" i="26"/>
  <c r="J25" i="26" s="1"/>
  <c r="I52" i="26"/>
  <c r="I68" i="26"/>
  <c r="I83" i="26"/>
  <c r="I50" i="26"/>
  <c r="I14" i="26"/>
  <c r="I76" i="26"/>
  <c r="I43" i="26"/>
  <c r="I74" i="26"/>
  <c r="I41" i="26"/>
  <c r="I35" i="26"/>
  <c r="M5" i="26"/>
  <c r="M96" i="26"/>
  <c r="M88" i="26"/>
  <c r="M80" i="26"/>
  <c r="M71" i="26"/>
  <c r="M63" i="26"/>
  <c r="M55" i="26"/>
  <c r="M46" i="26"/>
  <c r="M38" i="26"/>
  <c r="N38" i="26" s="1"/>
  <c r="M30" i="26"/>
  <c r="M22" i="26"/>
  <c r="M11" i="26"/>
  <c r="M95" i="26"/>
  <c r="M87" i="26"/>
  <c r="M79" i="26"/>
  <c r="M70" i="26"/>
  <c r="M62" i="26"/>
  <c r="M54" i="26"/>
  <c r="M45" i="26"/>
  <c r="M37" i="26"/>
  <c r="N37" i="26" s="1"/>
  <c r="M29" i="26"/>
  <c r="M21" i="26"/>
  <c r="M10" i="26"/>
  <c r="M94" i="26"/>
  <c r="M86" i="26"/>
  <c r="M78" i="26"/>
  <c r="M69" i="26"/>
  <c r="M61" i="26"/>
  <c r="M53" i="26"/>
  <c r="M44" i="26"/>
  <c r="M36" i="26"/>
  <c r="M28" i="26"/>
  <c r="M19" i="26"/>
  <c r="M8" i="26"/>
  <c r="M93" i="26"/>
  <c r="M85" i="26"/>
  <c r="M76" i="26"/>
  <c r="M68" i="26"/>
  <c r="M60" i="26"/>
  <c r="M52" i="26"/>
  <c r="M43" i="26"/>
  <c r="M35" i="26"/>
  <c r="M27" i="26"/>
  <c r="M18" i="26"/>
  <c r="N18" i="26" s="1"/>
  <c r="M92" i="26"/>
  <c r="M84" i="26"/>
  <c r="M75" i="26"/>
  <c r="M67" i="26"/>
  <c r="M59" i="26"/>
  <c r="M51" i="26"/>
  <c r="M42" i="26"/>
  <c r="M34" i="26"/>
  <c r="N34" i="26" s="1"/>
  <c r="M26" i="26"/>
  <c r="N26" i="26" s="1"/>
  <c r="M16" i="26"/>
  <c r="M91" i="26"/>
  <c r="M83" i="26"/>
  <c r="M74" i="26"/>
  <c r="M66" i="26"/>
  <c r="M58" i="26"/>
  <c r="M33" i="26"/>
  <c r="N33" i="26" s="1"/>
  <c r="M98" i="26"/>
  <c r="M90" i="26"/>
  <c r="M82" i="26"/>
  <c r="M73" i="26"/>
  <c r="M65" i="26"/>
  <c r="M57" i="26"/>
  <c r="M48" i="26"/>
  <c r="M40" i="26"/>
  <c r="M32" i="26"/>
  <c r="M24" i="26"/>
  <c r="M13" i="26"/>
  <c r="M97" i="26"/>
  <c r="M89" i="26"/>
  <c r="M81" i="26"/>
  <c r="M72" i="26"/>
  <c r="M64" i="26"/>
  <c r="M56" i="26"/>
  <c r="M23" i="26"/>
  <c r="M25" i="26"/>
  <c r="N25" i="26" s="1"/>
  <c r="M14" i="26"/>
  <c r="M50" i="26"/>
  <c r="M12" i="26"/>
  <c r="M47" i="26"/>
  <c r="M41" i="26"/>
  <c r="M39" i="26"/>
  <c r="M31" i="26"/>
  <c r="B38" i="24"/>
  <c r="B50" i="24"/>
  <c r="G6" i="26" s="1"/>
  <c r="G77" i="26" s="1"/>
  <c r="B45" i="24"/>
  <c r="K5" i="12"/>
  <c r="B35" i="24"/>
  <c r="B37" i="24" s="1"/>
  <c r="B34" i="24"/>
  <c r="J5" i="12"/>
  <c r="I5" i="12"/>
  <c r="H5" i="12"/>
  <c r="G5" i="12"/>
  <c r="F5" i="12"/>
  <c r="E5" i="12"/>
  <c r="D5" i="12"/>
  <c r="H7" i="30" l="1"/>
  <c r="H8" i="30" s="1"/>
  <c r="I7" i="30"/>
  <c r="I8" i="30" s="1"/>
  <c r="K7" i="30"/>
  <c r="K8" i="30" s="1"/>
  <c r="J7" i="30"/>
  <c r="J8" i="30" s="1"/>
  <c r="C8" i="17"/>
  <c r="F3" i="31" s="1"/>
  <c r="F4" i="31" s="1"/>
  <c r="F7" i="30"/>
  <c r="G7" i="30"/>
  <c r="E7" i="30"/>
  <c r="E8" i="30" s="1"/>
  <c r="E5" i="30" s="1"/>
  <c r="D7" i="30"/>
  <c r="D8" i="30" s="1"/>
  <c r="D5" i="30" s="1"/>
  <c r="C7" i="30"/>
  <c r="C8" i="30" s="1"/>
  <c r="B7" i="30"/>
  <c r="B8" i="30" s="1"/>
  <c r="G49" i="26"/>
  <c r="G103" i="26"/>
  <c r="H103" i="26" s="1"/>
  <c r="B18" i="24"/>
  <c r="B19" i="24" s="1"/>
  <c r="D58" i="6" s="1"/>
  <c r="C34" i="24"/>
  <c r="M7" i="26"/>
  <c r="Z8" i="26" a="1"/>
  <c r="V8" i="26" a="1"/>
  <c r="I7" i="26"/>
  <c r="G17" i="26"/>
  <c r="G20" i="26"/>
  <c r="G9" i="26"/>
  <c r="G15" i="26"/>
  <c r="G99" i="26"/>
  <c r="G102" i="26"/>
  <c r="H102" i="26" s="1"/>
  <c r="G100" i="26"/>
  <c r="G101" i="26"/>
  <c r="B46" i="24"/>
  <c r="H15" i="1"/>
  <c r="H28" i="1"/>
  <c r="I28" i="1" s="1"/>
  <c r="H22" i="1"/>
  <c r="I22" i="1" s="1"/>
  <c r="H8" i="1"/>
  <c r="H13" i="1"/>
  <c r="H31" i="1"/>
  <c r="I31" i="1" s="1"/>
  <c r="H29" i="1"/>
  <c r="I29" i="1" s="1"/>
  <c r="H47" i="1"/>
  <c r="I47" i="1" s="1"/>
  <c r="H24" i="1"/>
  <c r="I24" i="1" s="1"/>
  <c r="H34" i="1"/>
  <c r="I34" i="1" s="1"/>
  <c r="H26" i="1"/>
  <c r="I26" i="1" s="1"/>
  <c r="H10" i="1"/>
  <c r="H36" i="1"/>
  <c r="I36" i="1" s="1"/>
  <c r="E26" i="1"/>
  <c r="F26" i="1" s="1"/>
  <c r="E28" i="1"/>
  <c r="F28" i="1" s="1"/>
  <c r="E47" i="1"/>
  <c r="F47" i="1" s="1"/>
  <c r="H14" i="1"/>
  <c r="H40" i="1"/>
  <c r="I40" i="1" s="1"/>
  <c r="E25" i="1"/>
  <c r="F25" i="1" s="1"/>
  <c r="E45" i="1"/>
  <c r="F45" i="1" s="1"/>
  <c r="E36" i="1"/>
  <c r="F36" i="1" s="1"/>
  <c r="E43" i="1"/>
  <c r="F43" i="1" s="1"/>
  <c r="E22" i="1"/>
  <c r="F22" i="1" s="1"/>
  <c r="E38" i="1"/>
  <c r="F38" i="1" s="1"/>
  <c r="H42" i="1"/>
  <c r="I42" i="1" s="1"/>
  <c r="H32" i="1"/>
  <c r="I32" i="1" s="1"/>
  <c r="E40" i="1"/>
  <c r="F40" i="1" s="1"/>
  <c r="E9" i="1"/>
  <c r="E20" i="1"/>
  <c r="F20" i="1" s="1"/>
  <c r="E14" i="1"/>
  <c r="F5" i="1"/>
  <c r="H19" i="1"/>
  <c r="I19" i="1" s="1"/>
  <c r="H46" i="1"/>
  <c r="I46" i="1" s="1"/>
  <c r="H39" i="1"/>
  <c r="I39" i="1" s="1"/>
  <c r="E30" i="1"/>
  <c r="F30" i="1" s="1"/>
  <c r="H45" i="1"/>
  <c r="I45" i="1" s="1"/>
  <c r="E15" i="1"/>
  <c r="E11" i="1"/>
  <c r="E19" i="1"/>
  <c r="F19" i="1" s="1"/>
  <c r="E16" i="1"/>
  <c r="H16" i="1"/>
  <c r="H43" i="1"/>
  <c r="I43" i="1" s="1"/>
  <c r="E37" i="1"/>
  <c r="F37" i="1" s="1"/>
  <c r="E46" i="1"/>
  <c r="F46" i="1" s="1"/>
  <c r="E13" i="1"/>
  <c r="E39" i="1"/>
  <c r="F39" i="1" s="1"/>
  <c r="H23" i="1"/>
  <c r="I23" i="1" s="1"/>
  <c r="H37" i="1"/>
  <c r="I37" i="1" s="1"/>
  <c r="H33" i="1"/>
  <c r="I33" i="1" s="1"/>
  <c r="H9" i="1"/>
  <c r="H38" i="1"/>
  <c r="I38" i="1" s="1"/>
  <c r="E35" i="1"/>
  <c r="F35" i="1" s="1"/>
  <c r="E10" i="1"/>
  <c r="E24" i="1"/>
  <c r="F24" i="1" s="1"/>
  <c r="E27" i="1"/>
  <c r="F27" i="1" s="1"/>
  <c r="E42" i="1"/>
  <c r="F42" i="1" s="1"/>
  <c r="E41" i="1"/>
  <c r="F41" i="1" s="1"/>
  <c r="H41" i="1"/>
  <c r="I41" i="1" s="1"/>
  <c r="H21" i="1"/>
  <c r="I21" i="1" s="1"/>
  <c r="H25" i="1"/>
  <c r="I25" i="1" s="1"/>
  <c r="H17" i="1"/>
  <c r="I17" i="1" s="1"/>
  <c r="E18" i="1"/>
  <c r="F18" i="1" s="1"/>
  <c r="E31" i="1"/>
  <c r="F31" i="1" s="1"/>
  <c r="E21" i="1"/>
  <c r="F21" i="1" s="1"/>
  <c r="E33" i="1"/>
  <c r="F33" i="1" s="1"/>
  <c r="E23" i="1"/>
  <c r="F23" i="1" s="1"/>
  <c r="E29" i="1"/>
  <c r="F29" i="1" s="1"/>
  <c r="E44" i="1"/>
  <c r="F44" i="1" s="1"/>
  <c r="H35" i="1"/>
  <c r="I35" i="1" s="1"/>
  <c r="H44" i="1"/>
  <c r="I44" i="1" s="1"/>
  <c r="H18" i="1"/>
  <c r="I18" i="1" s="1"/>
  <c r="H27" i="1"/>
  <c r="I27" i="1" s="1"/>
  <c r="H20" i="1"/>
  <c r="I20" i="1" s="1"/>
  <c r="E8" i="1"/>
  <c r="E34" i="1"/>
  <c r="F34" i="1" s="1"/>
  <c r="E32" i="1"/>
  <c r="F32" i="1" s="1"/>
  <c r="E17" i="1"/>
  <c r="F17" i="1" s="1"/>
  <c r="H30" i="1"/>
  <c r="I30" i="1" s="1"/>
  <c r="I57" i="6"/>
  <c r="I48" i="6"/>
  <c r="I37" i="6"/>
  <c r="I34" i="6"/>
  <c r="I31" i="6"/>
  <c r="I47" i="6"/>
  <c r="I36" i="6"/>
  <c r="I51" i="6"/>
  <c r="I13" i="6"/>
  <c r="I54" i="6"/>
  <c r="I41" i="6"/>
  <c r="I38" i="6"/>
  <c r="I35" i="6"/>
  <c r="I20" i="6"/>
  <c r="I58" i="6"/>
  <c r="I45" i="6"/>
  <c r="I42" i="6"/>
  <c r="I39" i="6"/>
  <c r="I18" i="6"/>
  <c r="I26" i="6"/>
  <c r="I11" i="6"/>
  <c r="I49" i="6"/>
  <c r="I46" i="6"/>
  <c r="I43" i="6"/>
  <c r="I32" i="6"/>
  <c r="I17" i="6"/>
  <c r="I55" i="6"/>
  <c r="I40" i="6"/>
  <c r="I27" i="6"/>
  <c r="I22" i="6"/>
  <c r="I19" i="6"/>
  <c r="I44" i="6"/>
  <c r="I33" i="6"/>
  <c r="I28" i="6"/>
  <c r="I25" i="6"/>
  <c r="I50" i="6"/>
  <c r="I21" i="6"/>
  <c r="I56" i="6"/>
  <c r="G13" i="26"/>
  <c r="G24" i="26"/>
  <c r="G32" i="26"/>
  <c r="G40" i="26"/>
  <c r="G48" i="26"/>
  <c r="G57" i="26"/>
  <c r="G65" i="26"/>
  <c r="G73" i="26"/>
  <c r="G82" i="26"/>
  <c r="G90" i="26"/>
  <c r="G98" i="26"/>
  <c r="G14" i="26"/>
  <c r="G25" i="26"/>
  <c r="H25" i="26" s="1"/>
  <c r="G33" i="26"/>
  <c r="H33" i="26" s="1"/>
  <c r="G41" i="26"/>
  <c r="G50" i="26"/>
  <c r="G58" i="26"/>
  <c r="G66" i="26"/>
  <c r="G74" i="26"/>
  <c r="G83" i="26"/>
  <c r="G91" i="26"/>
  <c r="G8" i="26"/>
  <c r="G16" i="26"/>
  <c r="G26" i="26"/>
  <c r="H26" i="26" s="1"/>
  <c r="G34" i="26"/>
  <c r="H34" i="26" s="1"/>
  <c r="G42" i="26"/>
  <c r="G51" i="26"/>
  <c r="G59" i="26"/>
  <c r="G67" i="26"/>
  <c r="G75" i="26"/>
  <c r="G84" i="26"/>
  <c r="G92" i="26"/>
  <c r="G18" i="26"/>
  <c r="H18" i="26" s="1"/>
  <c r="G27" i="26"/>
  <c r="G35" i="26"/>
  <c r="G43" i="26"/>
  <c r="G52" i="26"/>
  <c r="G60" i="26"/>
  <c r="G68" i="26"/>
  <c r="G76" i="26"/>
  <c r="G85" i="26"/>
  <c r="G93" i="26"/>
  <c r="G19" i="26"/>
  <c r="G28" i="26"/>
  <c r="G36" i="26"/>
  <c r="G44" i="26"/>
  <c r="G53" i="26"/>
  <c r="G61" i="26"/>
  <c r="G69" i="26"/>
  <c r="G78" i="26"/>
  <c r="G86" i="26"/>
  <c r="G94" i="26"/>
  <c r="G11" i="26"/>
  <c r="G22" i="26"/>
  <c r="G30" i="26"/>
  <c r="G38" i="26"/>
  <c r="H38" i="26" s="1"/>
  <c r="G46" i="26"/>
  <c r="G55" i="26"/>
  <c r="G63" i="26"/>
  <c r="G71" i="26"/>
  <c r="G80" i="26"/>
  <c r="G88" i="26"/>
  <c r="G96" i="26"/>
  <c r="G23" i="26"/>
  <c r="G56" i="26"/>
  <c r="G89" i="26"/>
  <c r="G87" i="26"/>
  <c r="G29" i="26"/>
  <c r="G62" i="26"/>
  <c r="G95" i="26"/>
  <c r="G70" i="26"/>
  <c r="G54" i="26"/>
  <c r="G31" i="26"/>
  <c r="G64" i="26"/>
  <c r="G97" i="26"/>
  <c r="G37" i="26"/>
  <c r="H37" i="26" s="1"/>
  <c r="G39" i="26"/>
  <c r="G72" i="26"/>
  <c r="G5" i="26"/>
  <c r="G4" i="26" s="1"/>
  <c r="T4" i="26" s="1"/>
  <c r="G10" i="26"/>
  <c r="G45" i="26"/>
  <c r="G79" i="26"/>
  <c r="G21" i="26"/>
  <c r="G12" i="26"/>
  <c r="G47" i="26"/>
  <c r="G81" i="26"/>
  <c r="M4" i="26"/>
  <c r="Z4" i="26" s="1"/>
  <c r="Z5" i="26"/>
  <c r="I4" i="26"/>
  <c r="V4" i="26" s="1"/>
  <c r="V5" i="26"/>
  <c r="R6" i="17" s="1"/>
  <c r="B41" i="24"/>
  <c r="B42" i="24" s="1"/>
  <c r="B16" i="24"/>
  <c r="B17" i="24" s="1"/>
  <c r="G14" i="6" s="1"/>
  <c r="C7" i="6"/>
  <c r="F7" i="6"/>
  <c r="B36" i="24"/>
  <c r="B53" i="24" s="1"/>
  <c r="B54" i="24" s="1"/>
  <c r="K6" i="26" s="1"/>
  <c r="K77" i="26" s="1"/>
  <c r="O77" i="26" s="1"/>
  <c r="D30" i="30" l="1"/>
  <c r="D22" i="30"/>
  <c r="D38" i="30"/>
  <c r="D14" i="30"/>
  <c r="D46" i="30"/>
  <c r="D16" i="30"/>
  <c r="D10" i="30"/>
  <c r="D37" i="30"/>
  <c r="D41" i="30"/>
  <c r="D32" i="30"/>
  <c r="D44" i="30"/>
  <c r="D33" i="30"/>
  <c r="D47" i="30"/>
  <c r="D28" i="30"/>
  <c r="D29" i="30"/>
  <c r="D18" i="30"/>
  <c r="D39" i="30"/>
  <c r="D36" i="30"/>
  <c r="D35" i="30"/>
  <c r="D43" i="30"/>
  <c r="D25" i="30"/>
  <c r="D9" i="30"/>
  <c r="D31" i="30"/>
  <c r="D20" i="30"/>
  <c r="D27" i="30"/>
  <c r="D42" i="30"/>
  <c r="D21" i="30"/>
  <c r="D15" i="30"/>
  <c r="D12" i="30"/>
  <c r="D19" i="30"/>
  <c r="D34" i="30"/>
  <c r="D17" i="30"/>
  <c r="D24" i="30"/>
  <c r="D40" i="30"/>
  <c r="D11" i="30"/>
  <c r="D26" i="30"/>
  <c r="D45" i="30"/>
  <c r="D13" i="30"/>
  <c r="D23" i="30"/>
  <c r="E23" i="30"/>
  <c r="E31" i="30"/>
  <c r="E47" i="30"/>
  <c r="E15" i="30"/>
  <c r="E39" i="30"/>
  <c r="E46" i="30"/>
  <c r="E14" i="30"/>
  <c r="E22" i="30"/>
  <c r="E30" i="30"/>
  <c r="E38" i="30"/>
  <c r="E42" i="30"/>
  <c r="E9" i="30"/>
  <c r="E37" i="30"/>
  <c r="E29" i="30"/>
  <c r="E44" i="30"/>
  <c r="E12" i="30"/>
  <c r="E25" i="30"/>
  <c r="E21" i="30"/>
  <c r="E17" i="30"/>
  <c r="E40" i="30"/>
  <c r="E35" i="30"/>
  <c r="E16" i="30"/>
  <c r="E45" i="30"/>
  <c r="E13" i="30"/>
  <c r="E34" i="30"/>
  <c r="E36" i="30"/>
  <c r="E27" i="30"/>
  <c r="E26" i="30"/>
  <c r="E32" i="30"/>
  <c r="E11" i="30"/>
  <c r="E18" i="30"/>
  <c r="E28" i="30"/>
  <c r="E43" i="30"/>
  <c r="E33" i="30"/>
  <c r="E10" i="30"/>
  <c r="E24" i="30"/>
  <c r="E19" i="30"/>
  <c r="E41" i="30"/>
  <c r="E20" i="30"/>
  <c r="D14" i="6"/>
  <c r="K103" i="26"/>
  <c r="K49" i="26"/>
  <c r="O49" i="26" s="1"/>
  <c r="D54" i="6"/>
  <c r="D35" i="6"/>
  <c r="C33" i="30" s="1"/>
  <c r="I33" i="30" s="1"/>
  <c r="D26" i="6"/>
  <c r="D45" i="6"/>
  <c r="D21" i="6"/>
  <c r="D20" i="6"/>
  <c r="D37" i="6"/>
  <c r="D34" i="6"/>
  <c r="D33" i="6"/>
  <c r="D39" i="6"/>
  <c r="D11" i="6"/>
  <c r="D43" i="6"/>
  <c r="T30" i="17"/>
  <c r="AA30" i="17" s="1"/>
  <c r="T19" i="17"/>
  <c r="AA19" i="17" s="1"/>
  <c r="T18" i="17"/>
  <c r="AA18" i="17" s="1"/>
  <c r="T20" i="17"/>
  <c r="AA20" i="17" s="1"/>
  <c r="T49" i="17"/>
  <c r="AA49" i="17" s="1"/>
  <c r="T29" i="17"/>
  <c r="AA29" i="17" s="1"/>
  <c r="T31" i="17"/>
  <c r="AA31" i="17" s="1"/>
  <c r="T48" i="17"/>
  <c r="AA48" i="17" s="1"/>
  <c r="T28" i="17"/>
  <c r="AA28" i="17" s="1"/>
  <c r="T17" i="17"/>
  <c r="AA17" i="17" s="1"/>
  <c r="T47" i="17"/>
  <c r="AA47" i="17" s="1"/>
  <c r="T24" i="17"/>
  <c r="AA24" i="17" s="1"/>
  <c r="T16" i="17"/>
  <c r="AA16" i="17" s="1"/>
  <c r="T39" i="17"/>
  <c r="AA39" i="17" s="1"/>
  <c r="T23" i="17"/>
  <c r="AA23" i="17" s="1"/>
  <c r="T15" i="17"/>
  <c r="AA15" i="17" s="1"/>
  <c r="T6" i="17"/>
  <c r="T33" i="17"/>
  <c r="AA33" i="17" s="1"/>
  <c r="T22" i="17"/>
  <c r="AA22" i="17" s="1"/>
  <c r="T14" i="17"/>
  <c r="AA14" i="17" s="1"/>
  <c r="T32" i="17"/>
  <c r="AA32" i="17" s="1"/>
  <c r="T21" i="17"/>
  <c r="AA21" i="17" s="1"/>
  <c r="T11" i="17"/>
  <c r="AA11" i="17" s="1"/>
  <c r="D56" i="6"/>
  <c r="D44" i="6"/>
  <c r="D48" i="6"/>
  <c r="D13" i="6"/>
  <c r="D46" i="6"/>
  <c r="D22" i="6"/>
  <c r="D25" i="6"/>
  <c r="D31" i="6"/>
  <c r="D50" i="6"/>
  <c r="D27" i="6"/>
  <c r="D57" i="6"/>
  <c r="D55" i="6"/>
  <c r="D32" i="6"/>
  <c r="D51" i="6"/>
  <c r="D28" i="6"/>
  <c r="D41" i="6"/>
  <c r="D40" i="6"/>
  <c r="D49" i="6"/>
  <c r="D38" i="6"/>
  <c r="D47" i="6"/>
  <c r="D36" i="6"/>
  <c r="D19" i="6"/>
  <c r="D42" i="6"/>
  <c r="D17" i="6"/>
  <c r="D18" i="6"/>
  <c r="K6" i="17"/>
  <c r="K8" i="17" s="1"/>
  <c r="I15" i="6"/>
  <c r="K17" i="26"/>
  <c r="O17" i="26" s="1"/>
  <c r="K20" i="26"/>
  <c r="O20" i="26" s="1"/>
  <c r="V8" i="26"/>
  <c r="R11" i="17" s="1"/>
  <c r="V21" i="26"/>
  <c r="V30" i="26"/>
  <c r="V20" i="26"/>
  <c r="V34" i="26"/>
  <c r="V49" i="26"/>
  <c r="V67" i="26"/>
  <c r="V48" i="26"/>
  <c r="V28" i="26"/>
  <c r="V56" i="26"/>
  <c r="V47" i="26"/>
  <c r="V13" i="26"/>
  <c r="V14" i="26"/>
  <c r="V12" i="26"/>
  <c r="R18" i="17" s="1"/>
  <c r="S18" i="17" s="1"/>
  <c r="V26" i="26"/>
  <c r="R33" i="17" s="1"/>
  <c r="S33" i="17" s="1"/>
  <c r="V41" i="26"/>
  <c r="V59" i="26"/>
  <c r="V40" i="26"/>
  <c r="V38" i="26"/>
  <c r="V22" i="26"/>
  <c r="V63" i="26"/>
  <c r="V68" i="26"/>
  <c r="V31" i="26"/>
  <c r="V18" i="26"/>
  <c r="V33" i="26"/>
  <c r="V51" i="26"/>
  <c r="V32" i="26"/>
  <c r="V42" i="26"/>
  <c r="V61" i="26"/>
  <c r="V15" i="26"/>
  <c r="V60" i="26"/>
  <c r="V11" i="26"/>
  <c r="V10" i="26"/>
  <c r="R15" i="17" s="1"/>
  <c r="S15" i="17" s="1"/>
  <c r="V25" i="26"/>
  <c r="V43" i="26"/>
  <c r="V24" i="26"/>
  <c r="V53" i="26"/>
  <c r="V62" i="26"/>
  <c r="V52" i="26"/>
  <c r="V66" i="26"/>
  <c r="V39" i="26"/>
  <c r="P22" i="6" s="1"/>
  <c r="V17" i="26"/>
  <c r="V35" i="26"/>
  <c r="V16" i="26"/>
  <c r="R23" i="17" s="1"/>
  <c r="S23" i="17" s="1"/>
  <c r="V57" i="26"/>
  <c r="V45" i="26"/>
  <c r="V54" i="26"/>
  <c r="V44" i="26"/>
  <c r="V58" i="26"/>
  <c r="V19" i="26"/>
  <c r="R39" i="17" s="1"/>
  <c r="S39" i="17" s="1"/>
  <c r="V9" i="26"/>
  <c r="V27" i="26"/>
  <c r="AD47" i="17" s="1"/>
  <c r="V37" i="26"/>
  <c r="V46" i="26"/>
  <c r="V36" i="26"/>
  <c r="V50" i="26"/>
  <c r="V65" i="26"/>
  <c r="V55" i="26"/>
  <c r="V64" i="26"/>
  <c r="V29" i="26"/>
  <c r="AD49" i="17" s="1"/>
  <c r="V23" i="26"/>
  <c r="Z8" i="26"/>
  <c r="Z62" i="26"/>
  <c r="Z53" i="26"/>
  <c r="Z52" i="26"/>
  <c r="Z27" i="26"/>
  <c r="Z34" i="26"/>
  <c r="C14" i="6" s="1"/>
  <c r="B13" i="30" s="1"/>
  <c r="J13" i="30" s="1"/>
  <c r="Z41" i="26"/>
  <c r="Z48" i="26"/>
  <c r="Z60" i="26"/>
  <c r="Z56" i="26"/>
  <c r="Z63" i="26"/>
  <c r="Z54" i="26"/>
  <c r="Z45" i="26"/>
  <c r="Z44" i="26"/>
  <c r="Z19" i="26"/>
  <c r="Z26" i="26"/>
  <c r="Z33" i="26"/>
  <c r="Z40" i="26"/>
  <c r="Z35" i="26"/>
  <c r="Z55" i="26"/>
  <c r="Z46" i="26"/>
  <c r="Z37" i="26"/>
  <c r="Z12" i="26"/>
  <c r="Z11" i="26"/>
  <c r="Z18" i="26"/>
  <c r="Z25" i="26"/>
  <c r="Z32" i="26"/>
  <c r="Z15" i="26"/>
  <c r="Z49" i="26"/>
  <c r="Z47" i="26"/>
  <c r="Z38" i="26"/>
  <c r="Z29" i="26"/>
  <c r="Z67" i="26"/>
  <c r="Z36" i="26"/>
  <c r="Z10" i="26"/>
  <c r="Z17" i="26"/>
  <c r="Z24" i="26"/>
  <c r="Z39" i="26"/>
  <c r="Z30" i="26"/>
  <c r="Z21" i="26"/>
  <c r="Z59" i="26"/>
  <c r="Z66" i="26"/>
  <c r="Z28" i="26"/>
  <c r="Z9" i="26"/>
  <c r="Z16" i="26"/>
  <c r="Z42" i="26"/>
  <c r="Z31" i="26"/>
  <c r="Z22" i="26"/>
  <c r="Z13" i="26"/>
  <c r="Z51" i="26"/>
  <c r="Z58" i="26"/>
  <c r="Z65" i="26"/>
  <c r="Z20" i="26"/>
  <c r="Z23" i="26"/>
  <c r="Z14" i="26"/>
  <c r="Z68" i="26"/>
  <c r="Z43" i="26"/>
  <c r="Z50" i="26"/>
  <c r="Z57" i="26"/>
  <c r="Z64" i="26"/>
  <c r="Z61" i="26"/>
  <c r="T8" i="26" a="1"/>
  <c r="G7" i="26"/>
  <c r="K9" i="26"/>
  <c r="O9" i="26" s="1"/>
  <c r="K15" i="26"/>
  <c r="O15" i="26" s="1"/>
  <c r="K101" i="26"/>
  <c r="O101" i="26" s="1"/>
  <c r="K100" i="26"/>
  <c r="O100" i="26" s="1"/>
  <c r="K102" i="26"/>
  <c r="K99" i="26"/>
  <c r="O99" i="26" s="1"/>
  <c r="T5" i="26"/>
  <c r="P6" i="17" s="1"/>
  <c r="K5" i="26"/>
  <c r="K93" i="26"/>
  <c r="O93" i="26" s="1"/>
  <c r="K85" i="26"/>
  <c r="O85" i="26" s="1"/>
  <c r="K76" i="26"/>
  <c r="O76" i="26" s="1"/>
  <c r="K68" i="26"/>
  <c r="O68" i="26" s="1"/>
  <c r="K60" i="26"/>
  <c r="O60" i="26" s="1"/>
  <c r="K52" i="26"/>
  <c r="O52" i="26" s="1"/>
  <c r="K43" i="26"/>
  <c r="O43" i="26" s="1"/>
  <c r="K35" i="26"/>
  <c r="K27" i="26"/>
  <c r="O27" i="26" s="1"/>
  <c r="K18" i="26"/>
  <c r="L18" i="26" s="1"/>
  <c r="K92" i="26"/>
  <c r="O92" i="26" s="1"/>
  <c r="K84" i="26"/>
  <c r="O84" i="26" s="1"/>
  <c r="K75" i="26"/>
  <c r="O75" i="26" s="1"/>
  <c r="K67" i="26"/>
  <c r="O67" i="26" s="1"/>
  <c r="K59" i="26"/>
  <c r="O59" i="26" s="1"/>
  <c r="K51" i="26"/>
  <c r="O51" i="26" s="1"/>
  <c r="K42" i="26"/>
  <c r="O42" i="26" s="1"/>
  <c r="K34" i="26"/>
  <c r="K26" i="26"/>
  <c r="K16" i="26"/>
  <c r="O16" i="26" s="1"/>
  <c r="K91" i="26"/>
  <c r="O91" i="26" s="1"/>
  <c r="K83" i="26"/>
  <c r="O83" i="26" s="1"/>
  <c r="K74" i="26"/>
  <c r="O74" i="26" s="1"/>
  <c r="K66" i="26"/>
  <c r="O66" i="26" s="1"/>
  <c r="K58" i="26"/>
  <c r="O58" i="26" s="1"/>
  <c r="K50" i="26"/>
  <c r="O50" i="26" s="1"/>
  <c r="K41" i="26"/>
  <c r="O41" i="26" s="1"/>
  <c r="K33" i="26"/>
  <c r="K25" i="26"/>
  <c r="K14" i="26"/>
  <c r="K98" i="26"/>
  <c r="K90" i="26"/>
  <c r="O90" i="26" s="1"/>
  <c r="K82" i="26"/>
  <c r="O82" i="26" s="1"/>
  <c r="K73" i="26"/>
  <c r="O73" i="26" s="1"/>
  <c r="K65" i="26"/>
  <c r="O65" i="26" s="1"/>
  <c r="K57" i="26"/>
  <c r="O57" i="26" s="1"/>
  <c r="K48" i="26"/>
  <c r="O48" i="26" s="1"/>
  <c r="K40" i="26"/>
  <c r="O40" i="26" s="1"/>
  <c r="K32" i="26"/>
  <c r="K24" i="26"/>
  <c r="K13" i="26"/>
  <c r="O13" i="26" s="1"/>
  <c r="K97" i="26"/>
  <c r="K89" i="26"/>
  <c r="O89" i="26" s="1"/>
  <c r="K81" i="26"/>
  <c r="O81" i="26" s="1"/>
  <c r="K72" i="26"/>
  <c r="O72" i="26" s="1"/>
  <c r="K64" i="26"/>
  <c r="O64" i="26" s="1"/>
  <c r="K56" i="26"/>
  <c r="O56" i="26" s="1"/>
  <c r="K47" i="26"/>
  <c r="O47" i="26" s="1"/>
  <c r="K39" i="26"/>
  <c r="O39" i="26" s="1"/>
  <c r="K31" i="26"/>
  <c r="K23" i="26"/>
  <c r="K12" i="26"/>
  <c r="O12" i="26" s="1"/>
  <c r="K95" i="26"/>
  <c r="O95" i="26" s="1"/>
  <c r="K87" i="26"/>
  <c r="O87" i="26" s="1"/>
  <c r="K79" i="26"/>
  <c r="O79" i="26" s="1"/>
  <c r="K70" i="26"/>
  <c r="O70" i="26" s="1"/>
  <c r="K62" i="26"/>
  <c r="O62" i="26" s="1"/>
  <c r="K54" i="26"/>
  <c r="O54" i="26" s="1"/>
  <c r="K45" i="26"/>
  <c r="O45" i="26" s="1"/>
  <c r="K37" i="26"/>
  <c r="K29" i="26"/>
  <c r="O29" i="26" s="1"/>
  <c r="K21" i="26"/>
  <c r="O21" i="26" s="1"/>
  <c r="K10" i="26"/>
  <c r="O10" i="26" s="1"/>
  <c r="K78" i="26"/>
  <c r="O78" i="26" s="1"/>
  <c r="K44" i="26"/>
  <c r="O44" i="26" s="1"/>
  <c r="K8" i="26"/>
  <c r="K71" i="26"/>
  <c r="O71" i="26" s="1"/>
  <c r="K38" i="26"/>
  <c r="K96" i="26"/>
  <c r="O96" i="26" s="1"/>
  <c r="K30" i="26"/>
  <c r="O30" i="26" s="1"/>
  <c r="K46" i="26"/>
  <c r="O46" i="26" s="1"/>
  <c r="K69" i="26"/>
  <c r="O69" i="26" s="1"/>
  <c r="K36" i="26"/>
  <c r="K63" i="26"/>
  <c r="O63" i="26" s="1"/>
  <c r="K94" i="26"/>
  <c r="O94" i="26" s="1"/>
  <c r="K61" i="26"/>
  <c r="O61" i="26" s="1"/>
  <c r="K28" i="26"/>
  <c r="O28" i="26" s="1"/>
  <c r="K88" i="26"/>
  <c r="O88" i="26" s="1"/>
  <c r="K55" i="26"/>
  <c r="O55" i="26" s="1"/>
  <c r="K22" i="26"/>
  <c r="O22" i="26" s="1"/>
  <c r="K80" i="26"/>
  <c r="O80" i="26" s="1"/>
  <c r="K86" i="26"/>
  <c r="O86" i="26" s="1"/>
  <c r="K53" i="26"/>
  <c r="O53" i="26" s="1"/>
  <c r="K19" i="26"/>
  <c r="O19" i="26" s="1"/>
  <c r="K11" i="26"/>
  <c r="O11" i="26" s="1"/>
  <c r="H7" i="1"/>
  <c r="I5" i="1"/>
  <c r="B43" i="24"/>
  <c r="B44" i="24" s="1"/>
  <c r="B20" i="24"/>
  <c r="B21" i="24" s="1"/>
  <c r="G57" i="6"/>
  <c r="G47" i="6"/>
  <c r="G39" i="6"/>
  <c r="G31" i="6"/>
  <c r="G19" i="6"/>
  <c r="G56" i="6"/>
  <c r="G46" i="6"/>
  <c r="G38" i="6"/>
  <c r="G55" i="6"/>
  <c r="G45" i="6"/>
  <c r="G37" i="6"/>
  <c r="G27" i="6"/>
  <c r="G17" i="6"/>
  <c r="G32" i="6"/>
  <c r="G18" i="6"/>
  <c r="G54" i="6"/>
  <c r="G44" i="6"/>
  <c r="G36" i="6"/>
  <c r="G26" i="6"/>
  <c r="G13" i="6"/>
  <c r="G15" i="6" s="1"/>
  <c r="G28" i="6"/>
  <c r="G51" i="6"/>
  <c r="G43" i="6"/>
  <c r="G35" i="6"/>
  <c r="G25" i="6"/>
  <c r="G11" i="6"/>
  <c r="G50" i="6"/>
  <c r="G42" i="6"/>
  <c r="G34" i="6"/>
  <c r="G22" i="6"/>
  <c r="G40" i="6"/>
  <c r="G49" i="6"/>
  <c r="G41" i="6"/>
  <c r="G33" i="6"/>
  <c r="G21" i="6"/>
  <c r="G58" i="6"/>
  <c r="G48" i="6"/>
  <c r="G20" i="6"/>
  <c r="K33" i="30" l="1"/>
  <c r="G33" i="30"/>
  <c r="F13" i="30"/>
  <c r="D15" i="6"/>
  <c r="L103" i="26"/>
  <c r="O103" i="26"/>
  <c r="K31" i="17"/>
  <c r="F31" i="17" s="1"/>
  <c r="K30" i="17"/>
  <c r="F30" i="17" s="1"/>
  <c r="K23" i="17"/>
  <c r="F23" i="17" s="1"/>
  <c r="K20" i="17"/>
  <c r="F20" i="17" s="1"/>
  <c r="K17" i="17"/>
  <c r="F17" i="17" s="1"/>
  <c r="K19" i="17"/>
  <c r="F19" i="17" s="1"/>
  <c r="K22" i="17"/>
  <c r="F22" i="17" s="1"/>
  <c r="K21" i="17"/>
  <c r="F21" i="17" s="1"/>
  <c r="K48" i="17"/>
  <c r="F48" i="17" s="1"/>
  <c r="K24" i="17"/>
  <c r="F24" i="17" s="1"/>
  <c r="K32" i="17"/>
  <c r="F32" i="17" s="1"/>
  <c r="K33" i="17"/>
  <c r="F33" i="17" s="1"/>
  <c r="K18" i="17"/>
  <c r="F18" i="17" s="1"/>
  <c r="K16" i="17"/>
  <c r="F16" i="17" s="1"/>
  <c r="K28" i="17"/>
  <c r="F28" i="17" s="1"/>
  <c r="K14" i="17"/>
  <c r="F14" i="17" s="1"/>
  <c r="K15" i="17"/>
  <c r="F15" i="17" s="1"/>
  <c r="K47" i="17"/>
  <c r="F47" i="17" s="1"/>
  <c r="K29" i="17"/>
  <c r="F29" i="17" s="1"/>
  <c r="K49" i="17"/>
  <c r="F49" i="17" s="1"/>
  <c r="K39" i="17"/>
  <c r="F39" i="17" s="1"/>
  <c r="AD11" i="17"/>
  <c r="AA10" i="17"/>
  <c r="R48" i="17"/>
  <c r="S48" i="17" s="1"/>
  <c r="AD48" i="17"/>
  <c r="AH28" i="26"/>
  <c r="AH39" i="26"/>
  <c r="AH29" i="26"/>
  <c r="AH27" i="26"/>
  <c r="R47" i="17"/>
  <c r="S47" i="17" s="1"/>
  <c r="AD20" i="17"/>
  <c r="R20" i="17"/>
  <c r="S20" i="17" s="1"/>
  <c r="AD14" i="17"/>
  <c r="R14" i="17"/>
  <c r="S14" i="17" s="1"/>
  <c r="AD17" i="17"/>
  <c r="R17" i="17"/>
  <c r="S17" i="17" s="1"/>
  <c r="AD24" i="17"/>
  <c r="R24" i="17"/>
  <c r="S24" i="17" s="1"/>
  <c r="AD32" i="17"/>
  <c r="R32" i="17"/>
  <c r="S32" i="17" s="1"/>
  <c r="AH21" i="26"/>
  <c r="R19" i="17"/>
  <c r="S19" i="17" s="1"/>
  <c r="AD31" i="17"/>
  <c r="R31" i="17"/>
  <c r="S31" i="17" s="1"/>
  <c r="S11" i="17"/>
  <c r="AD16" i="17"/>
  <c r="R16" i="17"/>
  <c r="S16" i="17" s="1"/>
  <c r="AD28" i="17"/>
  <c r="R28" i="17"/>
  <c r="S28" i="17" s="1"/>
  <c r="AD30" i="17"/>
  <c r="R30" i="17"/>
  <c r="S30" i="17" s="1"/>
  <c r="AD29" i="17"/>
  <c r="R29" i="17"/>
  <c r="S29" i="17" s="1"/>
  <c r="AD21" i="17"/>
  <c r="R21" i="17"/>
  <c r="S21" i="17" s="1"/>
  <c r="AD22" i="17"/>
  <c r="R22" i="17"/>
  <c r="S22" i="17" s="1"/>
  <c r="AH62" i="26"/>
  <c r="P46" i="6"/>
  <c r="AH50" i="26"/>
  <c r="P32" i="6"/>
  <c r="AH44" i="26"/>
  <c r="P21" i="6"/>
  <c r="AH66" i="26"/>
  <c r="P42" i="6"/>
  <c r="AH41" i="26"/>
  <c r="P18" i="6"/>
  <c r="AH54" i="26"/>
  <c r="P35" i="6"/>
  <c r="AH60" i="26"/>
  <c r="P44" i="6"/>
  <c r="AH67" i="26"/>
  <c r="P50" i="6"/>
  <c r="AH37" i="26"/>
  <c r="P57" i="6"/>
  <c r="AH57" i="26"/>
  <c r="P39" i="6"/>
  <c r="AH53" i="26"/>
  <c r="P34" i="6"/>
  <c r="AH61" i="26"/>
  <c r="P45" i="6"/>
  <c r="AH63" i="26"/>
  <c r="P47" i="6"/>
  <c r="AH34" i="26"/>
  <c r="P14" i="6"/>
  <c r="AH42" i="26"/>
  <c r="P20" i="6"/>
  <c r="AH64" i="26"/>
  <c r="P48" i="6"/>
  <c r="AH35" i="26"/>
  <c r="P55" i="6"/>
  <c r="AH43" i="26"/>
  <c r="P19" i="6"/>
  <c r="AH32" i="26"/>
  <c r="P54" i="6"/>
  <c r="AH38" i="26"/>
  <c r="P17" i="6"/>
  <c r="AH47" i="26"/>
  <c r="P27" i="6"/>
  <c r="AH30" i="26"/>
  <c r="P11" i="6"/>
  <c r="AH48" i="26"/>
  <c r="P28" i="6"/>
  <c r="AH36" i="26"/>
  <c r="P56" i="6"/>
  <c r="AH52" i="26"/>
  <c r="P41" i="6"/>
  <c r="AH31" i="26"/>
  <c r="P58" i="6"/>
  <c r="AH55" i="26"/>
  <c r="P37" i="6"/>
  <c r="AH51" i="26"/>
  <c r="P33" i="6"/>
  <c r="AH40" i="26"/>
  <c r="P31" i="6"/>
  <c r="AH56" i="26"/>
  <c r="P38" i="6"/>
  <c r="AH46" i="26"/>
  <c r="P26" i="6"/>
  <c r="AH45" i="26"/>
  <c r="P25" i="6"/>
  <c r="AH68" i="26"/>
  <c r="P51" i="6"/>
  <c r="AH49" i="26"/>
  <c r="P36" i="6"/>
  <c r="AH65" i="26"/>
  <c r="P49" i="6"/>
  <c r="AH58" i="26"/>
  <c r="P40" i="6"/>
  <c r="AH33" i="26"/>
  <c r="P13" i="6"/>
  <c r="AH59" i="26"/>
  <c r="P43" i="6"/>
  <c r="X8" i="26" a="1"/>
  <c r="K7" i="26"/>
  <c r="T8" i="26"/>
  <c r="P11" i="17" s="1"/>
  <c r="T46" i="26"/>
  <c r="AD46" i="26" s="1"/>
  <c r="T29" i="26"/>
  <c r="T44" i="26"/>
  <c r="AD44" i="26" s="1"/>
  <c r="T43" i="26"/>
  <c r="AD43" i="26" s="1"/>
  <c r="T50" i="26"/>
  <c r="AD50" i="26" s="1"/>
  <c r="T39" i="26"/>
  <c r="AD39" i="26" s="1"/>
  <c r="T9" i="26"/>
  <c r="T16" i="26"/>
  <c r="T51" i="26"/>
  <c r="AD51" i="26" s="1"/>
  <c r="T55" i="26"/>
  <c r="AD55" i="26" s="1"/>
  <c r="T38" i="26"/>
  <c r="AD38" i="26" s="1"/>
  <c r="T21" i="26"/>
  <c r="T36" i="26"/>
  <c r="AD36" i="26" s="1"/>
  <c r="T35" i="26"/>
  <c r="AD35" i="26" s="1"/>
  <c r="T42" i="26"/>
  <c r="AD42" i="26" s="1"/>
  <c r="T65" i="26"/>
  <c r="AD65" i="26" s="1"/>
  <c r="T31" i="26"/>
  <c r="AD31" i="26" s="1"/>
  <c r="J58" i="6" s="1"/>
  <c r="T54" i="26"/>
  <c r="AD54" i="26" s="1"/>
  <c r="T58" i="26"/>
  <c r="AD58" i="26" s="1"/>
  <c r="T30" i="26"/>
  <c r="T13" i="26"/>
  <c r="T28" i="26"/>
  <c r="T27" i="26"/>
  <c r="T34" i="26"/>
  <c r="AD34" i="26" s="1"/>
  <c r="J14" i="6" s="1"/>
  <c r="O14" i="6" s="1"/>
  <c r="T57" i="26"/>
  <c r="AD57" i="26" s="1"/>
  <c r="T64" i="26"/>
  <c r="AD64" i="26" s="1"/>
  <c r="T37" i="26"/>
  <c r="AD37" i="26" s="1"/>
  <c r="T24" i="26"/>
  <c r="T14" i="26"/>
  <c r="T23" i="26"/>
  <c r="T20" i="26"/>
  <c r="T19" i="26"/>
  <c r="T26" i="26"/>
  <c r="T49" i="26"/>
  <c r="AD49" i="26" s="1"/>
  <c r="T56" i="26"/>
  <c r="AD56" i="26" s="1"/>
  <c r="T61" i="26"/>
  <c r="AD61" i="26" s="1"/>
  <c r="T22" i="26"/>
  <c r="T12" i="26"/>
  <c r="T11" i="26"/>
  <c r="T18" i="26"/>
  <c r="T41" i="26"/>
  <c r="AD41" i="26" s="1"/>
  <c r="T48" i="26"/>
  <c r="AD48" i="26" s="1"/>
  <c r="T32" i="26"/>
  <c r="AD32" i="26" s="1"/>
  <c r="J54" i="6" s="1"/>
  <c r="T17" i="26"/>
  <c r="T15" i="26"/>
  <c r="T53" i="26"/>
  <c r="AD53" i="26" s="1"/>
  <c r="T68" i="26"/>
  <c r="AD68" i="26" s="1"/>
  <c r="T67" i="26"/>
  <c r="AD67" i="26" s="1"/>
  <c r="T47" i="26"/>
  <c r="AD47" i="26" s="1"/>
  <c r="T10" i="26"/>
  <c r="T33" i="26"/>
  <c r="AD33" i="26" s="1"/>
  <c r="J13" i="6" s="1"/>
  <c r="O13" i="6" s="1"/>
  <c r="T40" i="26"/>
  <c r="AD40" i="26" s="1"/>
  <c r="T62" i="26"/>
  <c r="AD62" i="26" s="1"/>
  <c r="T45" i="26"/>
  <c r="AD45" i="26" s="1"/>
  <c r="T60" i="26"/>
  <c r="AD60" i="26" s="1"/>
  <c r="T59" i="26"/>
  <c r="AD59" i="26" s="1"/>
  <c r="T66" i="26"/>
  <c r="AD66" i="26" s="1"/>
  <c r="T63" i="26"/>
  <c r="AD63" i="26" s="1"/>
  <c r="T25" i="26"/>
  <c r="T52" i="26"/>
  <c r="AD52" i="26" s="1"/>
  <c r="O25" i="26"/>
  <c r="L25" i="26"/>
  <c r="O38" i="26"/>
  <c r="L38" i="26"/>
  <c r="O37" i="26"/>
  <c r="L37" i="26"/>
  <c r="O33" i="26"/>
  <c r="L33" i="26"/>
  <c r="O102" i="26"/>
  <c r="L102" i="26"/>
  <c r="O26" i="26"/>
  <c r="L26" i="26"/>
  <c r="O34" i="26"/>
  <c r="L34" i="26"/>
  <c r="AH25" i="26"/>
  <c r="AD19" i="17"/>
  <c r="AH11" i="26"/>
  <c r="AH14" i="26"/>
  <c r="AH13" i="26"/>
  <c r="AH18" i="26"/>
  <c r="AH24" i="26"/>
  <c r="AH8" i="26"/>
  <c r="AH23" i="26"/>
  <c r="AH15" i="26"/>
  <c r="AH17" i="26"/>
  <c r="AH20" i="26"/>
  <c r="AH22" i="26"/>
  <c r="AH9" i="26"/>
  <c r="AH16" i="26"/>
  <c r="AD23" i="17"/>
  <c r="AH26" i="26"/>
  <c r="AD33" i="17"/>
  <c r="AH19" i="26"/>
  <c r="AD39" i="17"/>
  <c r="AH10" i="26"/>
  <c r="AD15" i="17"/>
  <c r="AH12" i="26"/>
  <c r="AD18" i="17"/>
  <c r="C19" i="6"/>
  <c r="B22" i="30" s="1"/>
  <c r="J22" i="30" s="1"/>
  <c r="C34" i="6"/>
  <c r="B32" i="30" s="1"/>
  <c r="J32" i="30" s="1"/>
  <c r="C43" i="6"/>
  <c r="B38" i="30" s="1"/>
  <c r="J38" i="30" s="1"/>
  <c r="C32" i="6"/>
  <c r="B29" i="30" s="1"/>
  <c r="J29" i="30" s="1"/>
  <c r="C20" i="6"/>
  <c r="B21" i="30" s="1"/>
  <c r="J21" i="30" s="1"/>
  <c r="C13" i="6"/>
  <c r="B12" i="30" s="1"/>
  <c r="J12" i="30" s="1"/>
  <c r="C33" i="6"/>
  <c r="B30" i="30" s="1"/>
  <c r="J30" i="30" s="1"/>
  <c r="C42" i="6"/>
  <c r="B45" i="30" s="1"/>
  <c r="J45" i="30" s="1"/>
  <c r="C40" i="6"/>
  <c r="B37" i="30" s="1"/>
  <c r="J37" i="30" s="1"/>
  <c r="C36" i="6"/>
  <c r="B28" i="30" s="1"/>
  <c r="J28" i="30" s="1"/>
  <c r="C18" i="6"/>
  <c r="B20" i="30" s="1"/>
  <c r="J20" i="30" s="1"/>
  <c r="C54" i="6"/>
  <c r="B11" i="30" s="1"/>
  <c r="J11" i="30" s="1"/>
  <c r="C49" i="6"/>
  <c r="B44" i="30" s="1"/>
  <c r="J44" i="30" s="1"/>
  <c r="C39" i="6"/>
  <c r="B36" i="30" s="1"/>
  <c r="J36" i="30" s="1"/>
  <c r="C28" i="6"/>
  <c r="B27" i="30" s="1"/>
  <c r="J27" i="30" s="1"/>
  <c r="C31" i="6"/>
  <c r="B19" i="30" s="1"/>
  <c r="J19" i="30" s="1"/>
  <c r="C58" i="6"/>
  <c r="B10" i="30" s="1"/>
  <c r="J10" i="30" s="1"/>
  <c r="C55" i="6"/>
  <c r="B14" i="30" s="1"/>
  <c r="C48" i="6"/>
  <c r="B43" i="30" s="1"/>
  <c r="J43" i="30" s="1"/>
  <c r="C38" i="6"/>
  <c r="B35" i="30" s="1"/>
  <c r="J35" i="30" s="1"/>
  <c r="C47" i="6"/>
  <c r="B42" i="30" s="1"/>
  <c r="J42" i="30" s="1"/>
  <c r="C22" i="6"/>
  <c r="B18" i="30" s="1"/>
  <c r="J18" i="30" s="1"/>
  <c r="C11" i="6"/>
  <c r="B9" i="30" s="1"/>
  <c r="J9" i="30" s="1"/>
  <c r="C37" i="6"/>
  <c r="B34" i="30" s="1"/>
  <c r="J34" i="30" s="1"/>
  <c r="C27" i="6"/>
  <c r="B26" i="30" s="1"/>
  <c r="J26" i="30" s="1"/>
  <c r="C57" i="6"/>
  <c r="B16" i="30" s="1"/>
  <c r="J16" i="30" s="1"/>
  <c r="C35" i="6"/>
  <c r="B33" i="30" s="1"/>
  <c r="J33" i="30" s="1"/>
  <c r="C26" i="6"/>
  <c r="B25" i="30" s="1"/>
  <c r="J25" i="30" s="1"/>
  <c r="C17" i="6"/>
  <c r="B17" i="30" s="1"/>
  <c r="J17" i="30" s="1"/>
  <c r="C44" i="6"/>
  <c r="B39" i="30" s="1"/>
  <c r="J39" i="30" s="1"/>
  <c r="C46" i="6"/>
  <c r="B41" i="30" s="1"/>
  <c r="J41" i="30" s="1"/>
  <c r="C50" i="6"/>
  <c r="B46" i="30" s="1"/>
  <c r="J46" i="30" s="1"/>
  <c r="C51" i="6"/>
  <c r="B47" i="30" s="1"/>
  <c r="J47" i="30" s="1"/>
  <c r="C45" i="6"/>
  <c r="B40" i="30" s="1"/>
  <c r="J40" i="30" s="1"/>
  <c r="C25" i="6"/>
  <c r="B24" i="30" s="1"/>
  <c r="J24" i="30" s="1"/>
  <c r="C41" i="6"/>
  <c r="B31" i="30" s="1"/>
  <c r="J31" i="30" s="1"/>
  <c r="C21" i="6"/>
  <c r="B23" i="30" s="1"/>
  <c r="J23" i="30" s="1"/>
  <c r="C56" i="6"/>
  <c r="B15" i="30" s="1"/>
  <c r="J15" i="30" s="1"/>
  <c r="O8" i="26"/>
  <c r="O36" i="26"/>
  <c r="Z7" i="26"/>
  <c r="O31" i="26"/>
  <c r="O24" i="26"/>
  <c r="O35" i="26"/>
  <c r="K4" i="26"/>
  <c r="X4" i="26" s="1"/>
  <c r="X5" i="26"/>
  <c r="O32" i="26"/>
  <c r="O98" i="26"/>
  <c r="O14" i="26"/>
  <c r="V7" i="26"/>
  <c r="O97" i="26"/>
  <c r="O18" i="26"/>
  <c r="O23" i="26"/>
  <c r="D9" i="1"/>
  <c r="D13" i="1"/>
  <c r="D14" i="1"/>
  <c r="D11" i="1"/>
  <c r="D8" i="1"/>
  <c r="D15" i="1"/>
  <c r="J14" i="30" l="1"/>
  <c r="F19" i="30"/>
  <c r="F18" i="30"/>
  <c r="F24" i="30"/>
  <c r="F42" i="30"/>
  <c r="F44" i="30"/>
  <c r="F31" i="30"/>
  <c r="F40" i="30"/>
  <c r="F35" i="30"/>
  <c r="F14" i="30"/>
  <c r="F34" i="30"/>
  <c r="F20" i="30"/>
  <c r="F21" i="30"/>
  <c r="F33" i="30"/>
  <c r="F23" i="30"/>
  <c r="F17" i="30"/>
  <c r="F11" i="30"/>
  <c r="F43" i="30"/>
  <c r="F46" i="30"/>
  <c r="F30" i="30"/>
  <c r="F15" i="30"/>
  <c r="F47" i="30"/>
  <c r="F41" i="30"/>
  <c r="F22" i="30"/>
  <c r="F26" i="30"/>
  <c r="F25" i="30"/>
  <c r="F16" i="30"/>
  <c r="F39" i="30"/>
  <c r="F32" i="30"/>
  <c r="F12" i="30"/>
  <c r="F28" i="30"/>
  <c r="F10" i="30"/>
  <c r="F27" i="30"/>
  <c r="F36" i="30"/>
  <c r="F38" i="30"/>
  <c r="F45" i="30"/>
  <c r="F9" i="30"/>
  <c r="F29" i="30"/>
  <c r="F37" i="30"/>
  <c r="AD10" i="17"/>
  <c r="P49" i="17"/>
  <c r="Q49" i="17" s="1"/>
  <c r="AC49" i="17"/>
  <c r="AE49" i="17" s="1"/>
  <c r="P48" i="17"/>
  <c r="Q48" i="17" s="1"/>
  <c r="U48" i="17" s="1"/>
  <c r="AC48" i="17"/>
  <c r="AE48" i="17" s="1"/>
  <c r="P47" i="17"/>
  <c r="Q47" i="17" s="1"/>
  <c r="U47" i="17" s="1"/>
  <c r="AC47" i="17"/>
  <c r="AE47" i="17" s="1"/>
  <c r="AC22" i="17"/>
  <c r="AE22" i="17" s="1"/>
  <c r="P22" i="17"/>
  <c r="Q22" i="17" s="1"/>
  <c r="U22" i="17" s="1"/>
  <c r="AC29" i="17"/>
  <c r="AE29" i="17" s="1"/>
  <c r="P29" i="17"/>
  <c r="Q29" i="17" s="1"/>
  <c r="U29" i="17" s="1"/>
  <c r="AC21" i="17"/>
  <c r="AE21" i="17" s="1"/>
  <c r="P21" i="17"/>
  <c r="Q21" i="17" s="1"/>
  <c r="U21" i="17" s="1"/>
  <c r="AC17" i="17"/>
  <c r="AE17" i="17" s="1"/>
  <c r="P17" i="17"/>
  <c r="Q17" i="17" s="1"/>
  <c r="U17" i="17" s="1"/>
  <c r="AC24" i="17"/>
  <c r="AE24" i="17" s="1"/>
  <c r="P24" i="17"/>
  <c r="Q24" i="17" s="1"/>
  <c r="U24" i="17" s="1"/>
  <c r="AC31" i="17"/>
  <c r="AE31" i="17" s="1"/>
  <c r="P31" i="17"/>
  <c r="Q31" i="17" s="1"/>
  <c r="U31" i="17" s="1"/>
  <c r="AC19" i="17"/>
  <c r="AE19" i="17" s="1"/>
  <c r="P19" i="17"/>
  <c r="Q19" i="17" s="1"/>
  <c r="U19" i="17" s="1"/>
  <c r="AC18" i="17"/>
  <c r="AE18" i="17" s="1"/>
  <c r="P18" i="17"/>
  <c r="Q18" i="17" s="1"/>
  <c r="AC30" i="17"/>
  <c r="AE30" i="17" s="1"/>
  <c r="P30" i="17"/>
  <c r="Q30" i="17" s="1"/>
  <c r="U30" i="17" s="1"/>
  <c r="AC32" i="17"/>
  <c r="AE32" i="17" s="1"/>
  <c r="P32" i="17"/>
  <c r="Q32" i="17" s="1"/>
  <c r="U32" i="17" s="1"/>
  <c r="AC15" i="17"/>
  <c r="AE15" i="17" s="1"/>
  <c r="P15" i="17"/>
  <c r="Q15" i="17" s="1"/>
  <c r="AC33" i="17"/>
  <c r="AE33" i="17" s="1"/>
  <c r="P33" i="17"/>
  <c r="Q33" i="17" s="1"/>
  <c r="AC28" i="17"/>
  <c r="AE28" i="17" s="1"/>
  <c r="P28" i="17"/>
  <c r="Q28" i="17" s="1"/>
  <c r="U28" i="17" s="1"/>
  <c r="AC39" i="17"/>
  <c r="AE39" i="17" s="1"/>
  <c r="P39" i="17"/>
  <c r="Q39" i="17" s="1"/>
  <c r="AC23" i="17"/>
  <c r="AE23" i="17" s="1"/>
  <c r="P23" i="17"/>
  <c r="Q23" i="17" s="1"/>
  <c r="Q11" i="17"/>
  <c r="U11" i="17" s="1"/>
  <c r="AC16" i="17"/>
  <c r="AE16" i="17" s="1"/>
  <c r="P16" i="17"/>
  <c r="Q16" i="17" s="1"/>
  <c r="U16" i="17" s="1"/>
  <c r="AC20" i="17"/>
  <c r="AE20" i="17" s="1"/>
  <c r="P20" i="17"/>
  <c r="Q20" i="17" s="1"/>
  <c r="U20" i="17" s="1"/>
  <c r="AC14" i="17"/>
  <c r="AE14" i="17" s="1"/>
  <c r="P14" i="17"/>
  <c r="Q14" i="17" s="1"/>
  <c r="U14" i="17" s="1"/>
  <c r="O15" i="6"/>
  <c r="P29" i="6"/>
  <c r="P23" i="6"/>
  <c r="P52" i="6"/>
  <c r="P59" i="6"/>
  <c r="O58" i="6"/>
  <c r="R58" i="6" s="1"/>
  <c r="F58" i="6" s="1"/>
  <c r="C10" i="30" s="1"/>
  <c r="P15" i="6"/>
  <c r="R14" i="6"/>
  <c r="F14" i="6" s="1"/>
  <c r="C13" i="30" s="1"/>
  <c r="O54" i="6"/>
  <c r="R54" i="6" s="1"/>
  <c r="R13" i="6"/>
  <c r="F13" i="6" s="1"/>
  <c r="C12" i="30" s="1"/>
  <c r="AD30" i="26"/>
  <c r="J11" i="6" s="1"/>
  <c r="O11" i="6" s="1"/>
  <c r="R11" i="6" s="1"/>
  <c r="AL36" i="26"/>
  <c r="AC11" i="17"/>
  <c r="AL35" i="26"/>
  <c r="X8" i="26"/>
  <c r="AB8" i="26" s="1"/>
  <c r="X38" i="26"/>
  <c r="AB38" i="26" s="1"/>
  <c r="X52" i="26"/>
  <c r="AB52" i="26" s="1"/>
  <c r="X67" i="26"/>
  <c r="AB67" i="26" s="1"/>
  <c r="X47" i="26"/>
  <c r="AB47" i="26" s="1"/>
  <c r="X18" i="26"/>
  <c r="AB18" i="26" s="1"/>
  <c r="X49" i="26"/>
  <c r="AB49" i="26" s="1"/>
  <c r="X61" i="26"/>
  <c r="AB61" i="26" s="1"/>
  <c r="X16" i="26"/>
  <c r="AB16" i="26" s="1"/>
  <c r="X46" i="26"/>
  <c r="AB46" i="26" s="1"/>
  <c r="X21" i="26"/>
  <c r="AB21" i="26" s="1"/>
  <c r="X57" i="26"/>
  <c r="AB57" i="26" s="1"/>
  <c r="X24" i="26"/>
  <c r="AB24" i="26" s="1"/>
  <c r="X30" i="26"/>
  <c r="AB30" i="26" s="1"/>
  <c r="X44" i="26"/>
  <c r="AB44" i="26" s="1"/>
  <c r="X59" i="26"/>
  <c r="AB59" i="26" s="1"/>
  <c r="X29" i="26"/>
  <c r="AB29" i="26" s="1"/>
  <c r="X10" i="26"/>
  <c r="AB10" i="26" s="1"/>
  <c r="X41" i="26"/>
  <c r="AB41" i="26" s="1"/>
  <c r="X37" i="26"/>
  <c r="AB37" i="26" s="1"/>
  <c r="X11" i="26"/>
  <c r="AB11" i="26" s="1"/>
  <c r="X22" i="26"/>
  <c r="AB22" i="26" s="1"/>
  <c r="X36" i="26"/>
  <c r="AB36" i="26" s="1"/>
  <c r="X51" i="26"/>
  <c r="AB51" i="26" s="1"/>
  <c r="X66" i="26"/>
  <c r="AB66" i="26" s="1"/>
  <c r="X55" i="26"/>
  <c r="AB55" i="26" s="1"/>
  <c r="X33" i="26"/>
  <c r="AB33" i="26" s="1"/>
  <c r="X64" i="26"/>
  <c r="AB64" i="26" s="1"/>
  <c r="X60" i="26"/>
  <c r="AB60" i="26" s="1"/>
  <c r="X23" i="26"/>
  <c r="AB23" i="26" s="1"/>
  <c r="X14" i="26"/>
  <c r="AB14" i="26" s="1"/>
  <c r="X28" i="26"/>
  <c r="AB28" i="26" s="1"/>
  <c r="X43" i="26"/>
  <c r="AB43" i="26" s="1"/>
  <c r="X58" i="26"/>
  <c r="AB58" i="26" s="1"/>
  <c r="X15" i="26"/>
  <c r="AB15" i="26" s="1"/>
  <c r="X25" i="26"/>
  <c r="AB25" i="26" s="1"/>
  <c r="X56" i="26"/>
  <c r="AB56" i="26" s="1"/>
  <c r="X31" i="26"/>
  <c r="AB31" i="26" s="1"/>
  <c r="X20" i="26"/>
  <c r="AB20" i="26" s="1"/>
  <c r="X35" i="26"/>
  <c r="AB35" i="26" s="1"/>
  <c r="X50" i="26"/>
  <c r="AB50" i="26" s="1"/>
  <c r="X53" i="26"/>
  <c r="AB53" i="26" s="1"/>
  <c r="X17" i="26"/>
  <c r="AB17" i="26" s="1"/>
  <c r="X48" i="26"/>
  <c r="AB48" i="26" s="1"/>
  <c r="X62" i="26"/>
  <c r="AB62" i="26" s="1"/>
  <c r="X13" i="26"/>
  <c r="AB13" i="26" s="1"/>
  <c r="X12" i="26"/>
  <c r="AB12" i="26" s="1"/>
  <c r="X27" i="26"/>
  <c r="AB27" i="26" s="1"/>
  <c r="X42" i="26"/>
  <c r="AB42" i="26" s="1"/>
  <c r="X45" i="26"/>
  <c r="AB45" i="26" s="1"/>
  <c r="X9" i="26"/>
  <c r="AB9" i="26" s="1"/>
  <c r="X40" i="26"/>
  <c r="AB40" i="26" s="1"/>
  <c r="X54" i="26"/>
  <c r="AB54" i="26" s="1"/>
  <c r="X68" i="26"/>
  <c r="AB68" i="26" s="1"/>
  <c r="X39" i="26"/>
  <c r="AB39" i="26" s="1"/>
  <c r="X19" i="26"/>
  <c r="AB19" i="26" s="1"/>
  <c r="X34" i="26"/>
  <c r="AB34" i="26" s="1"/>
  <c r="X65" i="26"/>
  <c r="AB65" i="26" s="1"/>
  <c r="X63" i="26"/>
  <c r="AB63" i="26" s="1"/>
  <c r="X32" i="26"/>
  <c r="AB32" i="26" s="1"/>
  <c r="X26" i="26"/>
  <c r="AB26" i="26" s="1"/>
  <c r="C15" i="6"/>
  <c r="J51" i="6"/>
  <c r="J49" i="6"/>
  <c r="J48" i="6"/>
  <c r="J45" i="6"/>
  <c r="J27" i="6"/>
  <c r="J41" i="6"/>
  <c r="J15" i="6"/>
  <c r="J56" i="6"/>
  <c r="J19" i="6"/>
  <c r="J36" i="6"/>
  <c r="J20" i="6"/>
  <c r="J50" i="6"/>
  <c r="J44" i="6"/>
  <c r="J25" i="6"/>
  <c r="J33" i="6"/>
  <c r="J37" i="6"/>
  <c r="J34" i="6"/>
  <c r="J39" i="6"/>
  <c r="J18" i="6"/>
  <c r="J21" i="6"/>
  <c r="J22" i="6"/>
  <c r="J32" i="6"/>
  <c r="J47" i="6"/>
  <c r="J28" i="6"/>
  <c r="J40" i="6"/>
  <c r="J42" i="6"/>
  <c r="J57" i="6"/>
  <c r="J38" i="6"/>
  <c r="J55" i="6"/>
  <c r="J31" i="6"/>
  <c r="J17" i="6"/>
  <c r="O17" i="6" s="1"/>
  <c r="R17" i="6" s="1"/>
  <c r="J43" i="6"/>
  <c r="J26" i="6"/>
  <c r="J35" i="6"/>
  <c r="J46" i="6"/>
  <c r="C23" i="6"/>
  <c r="AD24" i="26"/>
  <c r="AD9" i="26"/>
  <c r="AD28" i="26"/>
  <c r="AD10" i="26"/>
  <c r="AD23" i="26"/>
  <c r="AD21" i="26"/>
  <c r="AD22" i="26"/>
  <c r="AD17" i="26"/>
  <c r="AD11" i="26"/>
  <c r="AD19" i="26"/>
  <c r="AD27" i="26"/>
  <c r="AD8" i="26"/>
  <c r="AD29" i="26"/>
  <c r="AD14" i="26"/>
  <c r="AD12" i="26"/>
  <c r="AD16" i="26"/>
  <c r="AD25" i="26"/>
  <c r="AD15" i="26"/>
  <c r="AD18" i="26"/>
  <c r="AD13" i="26"/>
  <c r="AD20" i="26"/>
  <c r="AD26" i="26"/>
  <c r="F8" i="1"/>
  <c r="F14" i="1"/>
  <c r="F15" i="1"/>
  <c r="F13" i="1"/>
  <c r="F11" i="1"/>
  <c r="F9" i="1"/>
  <c r="T7" i="26"/>
  <c r="D16" i="1"/>
  <c r="G13" i="1"/>
  <c r="K13" i="30" l="1"/>
  <c r="G13" i="30"/>
  <c r="K10" i="30"/>
  <c r="G10" i="30"/>
  <c r="K12" i="30"/>
  <c r="G12" i="30"/>
  <c r="V21" i="17"/>
  <c r="V47" i="17"/>
  <c r="V17" i="17"/>
  <c r="V24" i="17"/>
  <c r="U33" i="17"/>
  <c r="V33" i="17"/>
  <c r="F23" i="31" s="1"/>
  <c r="U18" i="17"/>
  <c r="V18" i="17"/>
  <c r="F9" i="31" s="1"/>
  <c r="V31" i="17"/>
  <c r="V16" i="17"/>
  <c r="V28" i="17"/>
  <c r="U23" i="17"/>
  <c r="V23" i="17"/>
  <c r="F13" i="31" s="1"/>
  <c r="U15" i="17"/>
  <c r="V15" i="17"/>
  <c r="F7" i="31" s="1"/>
  <c r="V29" i="17"/>
  <c r="V19" i="17"/>
  <c r="V22" i="17"/>
  <c r="V48" i="17"/>
  <c r="U39" i="17"/>
  <c r="V39" i="17"/>
  <c r="F16" i="31" s="1"/>
  <c r="V14" i="17"/>
  <c r="F6" i="31" s="1"/>
  <c r="V20" i="17"/>
  <c r="V30" i="17"/>
  <c r="V32" i="17"/>
  <c r="V11" i="17"/>
  <c r="AC10" i="17"/>
  <c r="F11" i="6"/>
  <c r="C9" i="30" s="1"/>
  <c r="S11" i="6"/>
  <c r="P61" i="6"/>
  <c r="P63" i="6" s="1"/>
  <c r="P10" i="17"/>
  <c r="F54" i="6"/>
  <c r="C11" i="30" s="1"/>
  <c r="F17" i="6"/>
  <c r="C17" i="30" s="1"/>
  <c r="AL31" i="26"/>
  <c r="AE11" i="17"/>
  <c r="AE10" i="17" s="1"/>
  <c r="O26" i="6"/>
  <c r="R26" i="6" s="1"/>
  <c r="F26" i="6" s="1"/>
  <c r="C25" i="30" s="1"/>
  <c r="O36" i="6"/>
  <c r="R36" i="6" s="1"/>
  <c r="F36" i="6" s="1"/>
  <c r="C28" i="30" s="1"/>
  <c r="O42" i="6"/>
  <c r="R42" i="6" s="1"/>
  <c r="F42" i="6" s="1"/>
  <c r="C45" i="30" s="1"/>
  <c r="O27" i="6"/>
  <c r="R27" i="6" s="1"/>
  <c r="F27" i="6" s="1"/>
  <c r="C26" i="30" s="1"/>
  <c r="O49" i="6"/>
  <c r="R49" i="6" s="1"/>
  <c r="F49" i="6" s="1"/>
  <c r="C44" i="30" s="1"/>
  <c r="R15" i="6"/>
  <c r="O37" i="6"/>
  <c r="R37" i="6" s="1"/>
  <c r="F37" i="6" s="1"/>
  <c r="C34" i="30" s="1"/>
  <c r="O51" i="6"/>
  <c r="R51" i="6" s="1"/>
  <c r="F51" i="6" s="1"/>
  <c r="C47" i="30" s="1"/>
  <c r="O47" i="6"/>
  <c r="R47" i="6" s="1"/>
  <c r="F47" i="6" s="1"/>
  <c r="C42" i="30" s="1"/>
  <c r="O33" i="6"/>
  <c r="R33" i="6" s="1"/>
  <c r="F33" i="6" s="1"/>
  <c r="C30" i="30" s="1"/>
  <c r="O19" i="6"/>
  <c r="R19" i="6" s="1"/>
  <c r="F19" i="6" s="1"/>
  <c r="C22" i="30" s="1"/>
  <c r="O39" i="6"/>
  <c r="R39" i="6" s="1"/>
  <c r="F39" i="6" s="1"/>
  <c r="C36" i="30" s="1"/>
  <c r="O48" i="6"/>
  <c r="R48" i="6" s="1"/>
  <c r="F48" i="6" s="1"/>
  <c r="C43" i="30" s="1"/>
  <c r="O34" i="6"/>
  <c r="R34" i="6" s="1"/>
  <c r="F34" i="6" s="1"/>
  <c r="C32" i="30" s="1"/>
  <c r="O28" i="6"/>
  <c r="R28" i="6" s="1"/>
  <c r="F28" i="6" s="1"/>
  <c r="C27" i="30" s="1"/>
  <c r="O25" i="6"/>
  <c r="R25" i="6" s="1"/>
  <c r="O55" i="6"/>
  <c r="R55" i="6" s="1"/>
  <c r="F55" i="6" s="1"/>
  <c r="C14" i="30" s="1"/>
  <c r="I14" i="30" s="1"/>
  <c r="O22" i="6"/>
  <c r="R22" i="6" s="1"/>
  <c r="F22" i="6" s="1"/>
  <c r="C18" i="30" s="1"/>
  <c r="K18" i="30" s="1"/>
  <c r="O44" i="6"/>
  <c r="R44" i="6" s="1"/>
  <c r="F44" i="6" s="1"/>
  <c r="C39" i="30" s="1"/>
  <c r="O20" i="6"/>
  <c r="R20" i="6" s="1"/>
  <c r="F20" i="6" s="1"/>
  <c r="C21" i="30" s="1"/>
  <c r="O31" i="6"/>
  <c r="R31" i="6" s="1"/>
  <c r="F31" i="6" s="1"/>
  <c r="C19" i="30" s="1"/>
  <c r="O56" i="6"/>
  <c r="R56" i="6" s="1"/>
  <c r="F56" i="6" s="1"/>
  <c r="C15" i="30" s="1"/>
  <c r="O38" i="6"/>
  <c r="R38" i="6" s="1"/>
  <c r="F38" i="6" s="1"/>
  <c r="C35" i="30" s="1"/>
  <c r="O21" i="6"/>
  <c r="R21" i="6" s="1"/>
  <c r="F21" i="6" s="1"/>
  <c r="C23" i="30" s="1"/>
  <c r="O50" i="6"/>
  <c r="R50" i="6" s="1"/>
  <c r="F50" i="6" s="1"/>
  <c r="C46" i="30" s="1"/>
  <c r="O41" i="6"/>
  <c r="R41" i="6" s="1"/>
  <c r="F41" i="6" s="1"/>
  <c r="C31" i="30" s="1"/>
  <c r="O35" i="6"/>
  <c r="R35" i="6" s="1"/>
  <c r="F35" i="6" s="1"/>
  <c r="O40" i="6"/>
  <c r="R40" i="6" s="1"/>
  <c r="F40" i="6" s="1"/>
  <c r="C37" i="30" s="1"/>
  <c r="O43" i="6"/>
  <c r="R43" i="6" s="1"/>
  <c r="F43" i="6" s="1"/>
  <c r="C38" i="30" s="1"/>
  <c r="O32" i="6"/>
  <c r="R32" i="6" s="1"/>
  <c r="F32" i="6" s="1"/>
  <c r="C29" i="30" s="1"/>
  <c r="O45" i="6"/>
  <c r="R45" i="6" s="1"/>
  <c r="F45" i="6" s="1"/>
  <c r="C40" i="30" s="1"/>
  <c r="O46" i="6"/>
  <c r="R46" i="6" s="1"/>
  <c r="F46" i="6" s="1"/>
  <c r="C41" i="30" s="1"/>
  <c r="O57" i="6"/>
  <c r="R57" i="6" s="1"/>
  <c r="F57" i="6" s="1"/>
  <c r="C16" i="30" s="1"/>
  <c r="O18" i="6"/>
  <c r="R18" i="6" s="1"/>
  <c r="F18" i="6" s="1"/>
  <c r="C20" i="30" s="1"/>
  <c r="AL30" i="26"/>
  <c r="F16" i="1"/>
  <c r="F15" i="6"/>
  <c r="AD7" i="26"/>
  <c r="AB7" i="26"/>
  <c r="J23" i="6"/>
  <c r="J59" i="6"/>
  <c r="J29" i="6"/>
  <c r="J52" i="6"/>
  <c r="I13" i="1"/>
  <c r="X7" i="26"/>
  <c r="K11" i="17"/>
  <c r="G11" i="17" s="1"/>
  <c r="G40" i="17"/>
  <c r="G8" i="1"/>
  <c r="G16" i="1"/>
  <c r="G15" i="1"/>
  <c r="G9" i="1"/>
  <c r="G11" i="1"/>
  <c r="G14" i="1"/>
  <c r="X11" i="17" l="1"/>
  <c r="D11" i="17" s="1"/>
  <c r="Z11" i="17" s="1"/>
  <c r="F5" i="31"/>
  <c r="X22" i="17"/>
  <c r="W22" i="17" s="1"/>
  <c r="F12" i="31"/>
  <c r="X16" i="17"/>
  <c r="C16" i="17" s="1"/>
  <c r="Z16" i="17" s="1"/>
  <c r="AF16" i="17" s="1"/>
  <c r="F8" i="31"/>
  <c r="X47" i="17"/>
  <c r="C47" i="17" s="1"/>
  <c r="Z47" i="17" s="1"/>
  <c r="AF47" i="17" s="1"/>
  <c r="F24" i="31"/>
  <c r="X19" i="17"/>
  <c r="C19" i="17" s="1"/>
  <c r="Z19" i="17" s="1"/>
  <c r="AF19" i="17" s="1"/>
  <c r="F18" i="31"/>
  <c r="X21" i="17"/>
  <c r="C21" i="17" s="1"/>
  <c r="Z21" i="17" s="1"/>
  <c r="AF21" i="17" s="1"/>
  <c r="F11" i="31"/>
  <c r="X32" i="17"/>
  <c r="C32" i="17" s="1"/>
  <c r="Z32" i="17" s="1"/>
  <c r="AF32" i="17" s="1"/>
  <c r="F22" i="31"/>
  <c r="X29" i="17"/>
  <c r="C29" i="17" s="1"/>
  <c r="Z29" i="17" s="1"/>
  <c r="AF29" i="17" s="1"/>
  <c r="F19" i="31"/>
  <c r="X31" i="17"/>
  <c r="C31" i="17" s="1"/>
  <c r="Z31" i="17" s="1"/>
  <c r="AF31" i="17" s="1"/>
  <c r="F21" i="31"/>
  <c r="X30" i="17"/>
  <c r="C30" i="17" s="1"/>
  <c r="Z30" i="17" s="1"/>
  <c r="AF30" i="17" s="1"/>
  <c r="F20" i="31"/>
  <c r="X20" i="17"/>
  <c r="C20" i="17" s="1"/>
  <c r="Z20" i="17" s="1"/>
  <c r="AF20" i="17" s="1"/>
  <c r="F17" i="31"/>
  <c r="X24" i="17"/>
  <c r="C24" i="17" s="1"/>
  <c r="Z24" i="17" s="1"/>
  <c r="AF24" i="17" s="1"/>
  <c r="F14" i="31"/>
  <c r="X48" i="17"/>
  <c r="C48" i="17" s="1"/>
  <c r="Z48" i="17" s="1"/>
  <c r="AF48" i="17" s="1"/>
  <c r="F25" i="31"/>
  <c r="X28" i="17"/>
  <c r="C28" i="17" s="1"/>
  <c r="Z28" i="17" s="1"/>
  <c r="AF28" i="17" s="1"/>
  <c r="F15" i="31"/>
  <c r="X17" i="17"/>
  <c r="C17" i="17" s="1"/>
  <c r="Z17" i="17" s="1"/>
  <c r="AF17" i="17" s="1"/>
  <c r="F10" i="31"/>
  <c r="K41" i="30"/>
  <c r="G41" i="30"/>
  <c r="K40" i="30"/>
  <c r="G40" i="30"/>
  <c r="K35" i="30"/>
  <c r="G35" i="30"/>
  <c r="K27" i="30"/>
  <c r="G27" i="30"/>
  <c r="K34" i="30"/>
  <c r="G34" i="30"/>
  <c r="K29" i="30"/>
  <c r="G29" i="30"/>
  <c r="K15" i="30"/>
  <c r="G15" i="30"/>
  <c r="K32" i="30"/>
  <c r="G32" i="30"/>
  <c r="K17" i="30"/>
  <c r="G17" i="30"/>
  <c r="K38" i="30"/>
  <c r="G38" i="30"/>
  <c r="K19" i="30"/>
  <c r="G19" i="30"/>
  <c r="K43" i="30"/>
  <c r="G43" i="30"/>
  <c r="K44" i="30"/>
  <c r="G44" i="30"/>
  <c r="K11" i="30"/>
  <c r="G11" i="30"/>
  <c r="K21" i="30"/>
  <c r="G21" i="30"/>
  <c r="K36" i="30"/>
  <c r="G36" i="30"/>
  <c r="K26" i="30"/>
  <c r="G26" i="30"/>
  <c r="K37" i="30"/>
  <c r="G37" i="30"/>
  <c r="K39" i="30"/>
  <c r="G39" i="30"/>
  <c r="K22" i="30"/>
  <c r="G22" i="30"/>
  <c r="K45" i="30"/>
  <c r="G45" i="30"/>
  <c r="K20" i="30"/>
  <c r="G20" i="30"/>
  <c r="K31" i="30"/>
  <c r="G31" i="30"/>
  <c r="K30" i="30"/>
  <c r="G30" i="30"/>
  <c r="K28" i="30"/>
  <c r="G28" i="30"/>
  <c r="K16" i="30"/>
  <c r="G16" i="30"/>
  <c r="K46" i="30"/>
  <c r="G46" i="30"/>
  <c r="K14" i="30"/>
  <c r="G14" i="30"/>
  <c r="K42" i="30"/>
  <c r="G42" i="30"/>
  <c r="K25" i="30"/>
  <c r="G25" i="30"/>
  <c r="K9" i="30"/>
  <c r="G9" i="30"/>
  <c r="K23" i="30"/>
  <c r="G23" i="30"/>
  <c r="K47" i="30"/>
  <c r="G47" i="30"/>
  <c r="X14" i="17"/>
  <c r="C14" i="17" s="1"/>
  <c r="B7" i="12" s="1"/>
  <c r="AH15" i="17"/>
  <c r="X15" i="17"/>
  <c r="C15" i="17" s="1"/>
  <c r="Z15" i="17" s="1"/>
  <c r="AF15" i="17" s="1"/>
  <c r="X18" i="17"/>
  <c r="C18" i="17" s="1"/>
  <c r="Z18" i="17" s="1"/>
  <c r="AF18" i="17" s="1"/>
  <c r="X23" i="17"/>
  <c r="C23" i="17" s="1"/>
  <c r="Z23" i="17" s="1"/>
  <c r="AF23" i="17" s="1"/>
  <c r="X33" i="17"/>
  <c r="C33" i="17" s="1"/>
  <c r="Z33" i="17" s="1"/>
  <c r="AF33" i="17" s="1"/>
  <c r="X39" i="17"/>
  <c r="C39" i="17" s="1"/>
  <c r="Z39" i="17" s="1"/>
  <c r="AF39" i="17" s="1"/>
  <c r="I8" i="1"/>
  <c r="AL27" i="26"/>
  <c r="R29" i="6"/>
  <c r="R59" i="6"/>
  <c r="F25" i="6"/>
  <c r="C24" i="30" s="1"/>
  <c r="R23" i="6"/>
  <c r="R52" i="6"/>
  <c r="AE9" i="17"/>
  <c r="I14" i="1"/>
  <c r="O23" i="6"/>
  <c r="O59" i="6"/>
  <c r="I9" i="1"/>
  <c r="I11" i="1"/>
  <c r="I15" i="1"/>
  <c r="O52" i="6"/>
  <c r="O29" i="6"/>
  <c r="I16" i="1"/>
  <c r="J61" i="6"/>
  <c r="J63" i="6" s="1"/>
  <c r="G51" i="17"/>
  <c r="F25" i="17"/>
  <c r="F34" i="17"/>
  <c r="M39" i="1"/>
  <c r="L39" i="1"/>
  <c r="M16" i="1"/>
  <c r="M13" i="1"/>
  <c r="L13" i="1"/>
  <c r="G7" i="6"/>
  <c r="F59" i="6"/>
  <c r="B9" i="12" l="1"/>
  <c r="C22" i="17"/>
  <c r="Z22" i="17" s="1"/>
  <c r="AF22" i="17" s="1"/>
  <c r="K24" i="30"/>
  <c r="G24" i="30"/>
  <c r="Z14" i="17"/>
  <c r="AF14" i="17" s="1"/>
  <c r="D40" i="17"/>
  <c r="B8" i="12"/>
  <c r="R61" i="6"/>
  <c r="R63" i="6" s="1"/>
  <c r="O61" i="6"/>
  <c r="O63" i="6" s="1"/>
  <c r="AF11" i="17"/>
  <c r="B6" i="12"/>
  <c r="G36" i="17"/>
  <c r="C52" i="6"/>
  <c r="C59" i="6"/>
  <c r="C29" i="6"/>
  <c r="F52" i="6"/>
  <c r="F29" i="6"/>
  <c r="G29" i="6"/>
  <c r="G59" i="6"/>
  <c r="D29" i="6"/>
  <c r="D59" i="6"/>
  <c r="D52" i="6"/>
  <c r="D23" i="6"/>
  <c r="G23" i="6"/>
  <c r="D7" i="6"/>
  <c r="G52" i="6"/>
  <c r="G10" i="1"/>
  <c r="D10" i="1"/>
  <c r="C25" i="17" l="1"/>
  <c r="G61" i="6"/>
  <c r="G63" i="6" s="1"/>
  <c r="D61" i="6"/>
  <c r="D63" i="6" s="1"/>
  <c r="C61" i="6"/>
  <c r="C63" i="6" s="1"/>
  <c r="F10" i="1"/>
  <c r="I10" i="1"/>
  <c r="G42" i="17"/>
  <c r="G6" i="17" s="1"/>
  <c r="F8" i="17"/>
  <c r="C34" i="17" l="1"/>
  <c r="D36" i="17" s="1"/>
  <c r="D42" i="17" s="1"/>
  <c r="G18" i="30"/>
  <c r="F23" i="6"/>
  <c r="F61" i="6" s="1"/>
  <c r="F63" i="6" s="1"/>
  <c r="R49" i="17" s="1"/>
  <c r="R10" i="17" l="1"/>
  <c r="S49" i="17"/>
  <c r="V49" i="17" l="1"/>
  <c r="F26" i="31" s="1"/>
  <c r="U49" i="17"/>
  <c r="X49" i="17" l="1"/>
  <c r="C49" i="17" s="1"/>
  <c r="Z49" i="17" s="1"/>
  <c r="D51" i="17" l="1"/>
  <c r="D6" i="17" s="1"/>
  <c r="AF49" i="17"/>
  <c r="Z10" i="17"/>
</calcChain>
</file>

<file path=xl/comments1.xml><?xml version="1.0" encoding="utf-8"?>
<comments xmlns="http://schemas.openxmlformats.org/spreadsheetml/2006/main">
  <authors>
    <author>Humphrey Drummond</author>
  </authors>
  <commentList>
    <comment ref="D55" authorId="0" shapeId="0">
      <text>
        <r>
          <rPr>
            <b/>
            <sz val="9"/>
            <color indexed="81"/>
            <rFont val="Tahoma"/>
            <family val="2"/>
          </rPr>
          <t>Humphrey Drummond:</t>
        </r>
        <r>
          <rPr>
            <sz val="9"/>
            <color indexed="81"/>
            <rFont val="Tahoma"/>
            <family val="2"/>
          </rPr>
          <t xml:space="preserve">
Calculated Tax component
</t>
        </r>
      </text>
    </comment>
    <comment ref="E81" authorId="0" shapeId="0">
      <text>
        <r>
          <rPr>
            <b/>
            <sz val="9"/>
            <color indexed="81"/>
            <rFont val="Tahoma"/>
            <family val="2"/>
          </rPr>
          <t>Humphrey Drummond:</t>
        </r>
        <r>
          <rPr>
            <sz val="9"/>
            <color indexed="81"/>
            <rFont val="Tahoma"/>
            <family val="2"/>
          </rPr>
          <t xml:space="preserve">
Added 3 p rounding error here
</t>
        </r>
      </text>
    </comment>
  </commentList>
</comments>
</file>

<file path=xl/comments2.xml><?xml version="1.0" encoding="utf-8"?>
<comments xmlns="http://schemas.openxmlformats.org/spreadsheetml/2006/main">
  <authors>
    <author>Humphrey Drummond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Humphrey Drummond:</t>
        </r>
        <r>
          <rPr>
            <sz val="9"/>
            <color indexed="81"/>
            <rFont val="Tahoma"/>
            <family val="2"/>
          </rPr>
          <t xml:space="preserve">
Calculated opening to Date figure
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Humphrey Drummond:</t>
        </r>
        <r>
          <rPr>
            <sz val="9"/>
            <color indexed="81"/>
            <rFont val="Tahoma"/>
            <family val="2"/>
          </rPr>
          <t xml:space="preserve">
Calculated opening to Date figure
</t>
        </r>
      </text>
    </comment>
  </commentList>
</comments>
</file>

<file path=xl/sharedStrings.xml><?xml version="1.0" encoding="utf-8"?>
<sst xmlns="http://schemas.openxmlformats.org/spreadsheetml/2006/main" count="1460" uniqueCount="495">
  <si>
    <t>PERIOD</t>
  </si>
  <si>
    <t>YTD</t>
  </si>
  <si>
    <t>£</t>
  </si>
  <si>
    <t xml:space="preserve">£   </t>
  </si>
  <si>
    <t>Sales</t>
  </si>
  <si>
    <t>Materials Cost</t>
  </si>
  <si>
    <t>Factory Wages</t>
  </si>
  <si>
    <t>Factory Gas &amp; Elec</t>
  </si>
  <si>
    <t>Machine Repairs</t>
  </si>
  <si>
    <t>Packaging</t>
  </si>
  <si>
    <t>Works Sundries</t>
  </si>
  <si>
    <t>Redundancy Costs</t>
  </si>
  <si>
    <t>Variable Works Expenses</t>
  </si>
  <si>
    <t>Factory Depreciation</t>
  </si>
  <si>
    <t>Factory Insurance</t>
  </si>
  <si>
    <t>Factory Rent &amp; Rates</t>
  </si>
  <si>
    <t>Factory Salaries</t>
  </si>
  <si>
    <t>Fixed Works Expenses</t>
  </si>
  <si>
    <t>Delapidations Provision</t>
  </si>
  <si>
    <t>Bad Debts</t>
  </si>
  <si>
    <t>Audit Fees</t>
  </si>
  <si>
    <t>Bank Charges/Interest</t>
  </si>
  <si>
    <t>Admin Depreciation</t>
  </si>
  <si>
    <t>Exchange Rate Variance</t>
  </si>
  <si>
    <t>Gain/Loss on Disposal of Assets</t>
  </si>
  <si>
    <t>Admin Gas &amp; Electricity</t>
  </si>
  <si>
    <t>Admin Insurance</t>
  </si>
  <si>
    <t>Motor Running</t>
  </si>
  <si>
    <t>Legal/Professional</t>
  </si>
  <si>
    <t>New Product Development</t>
  </si>
  <si>
    <t>Postage</t>
  </si>
  <si>
    <t>Admin Rent &amp; Rates</t>
  </si>
  <si>
    <t>Repairs/Maint/Bldgs</t>
  </si>
  <si>
    <t>Admin Salaries</t>
  </si>
  <si>
    <t>Stationary</t>
  </si>
  <si>
    <t>Telephone</t>
  </si>
  <si>
    <t>Computer/EDI/Internet</t>
  </si>
  <si>
    <t>Admin Travel</t>
  </si>
  <si>
    <t>Admin Sundries</t>
  </si>
  <si>
    <t>Admin Expenses</t>
  </si>
  <si>
    <t>Carriage</t>
  </si>
  <si>
    <t>Commissions</t>
  </si>
  <si>
    <t>Sales Manager</t>
  </si>
  <si>
    <t>Advertising</t>
  </si>
  <si>
    <t>Discounts Allowed</t>
  </si>
  <si>
    <t>Selling Expenses</t>
  </si>
  <si>
    <t>TOTAL EXPENSES</t>
  </si>
  <si>
    <t>PROFIT/(LOSS)</t>
  </si>
  <si>
    <t xml:space="preserve"> </t>
  </si>
  <si>
    <t>FIXED ASSETS</t>
  </si>
  <si>
    <t>CURRENT ASSETS</t>
  </si>
  <si>
    <t>Stock</t>
  </si>
  <si>
    <t>Debtors Control Account</t>
  </si>
  <si>
    <t>I. N. Rankin Sales Ltd</t>
  </si>
  <si>
    <t>The Bedding Specialist</t>
  </si>
  <si>
    <t>Directors Loan A/C</t>
  </si>
  <si>
    <t>Notional Tax on Directors Loan</t>
  </si>
  <si>
    <t>Gavin Rankin/ D W Trustees</t>
  </si>
  <si>
    <t>Bank Current Account</t>
  </si>
  <si>
    <t>Bank Current USD</t>
  </si>
  <si>
    <t>Bank Euro A/c</t>
  </si>
  <si>
    <t>Petty Cash</t>
  </si>
  <si>
    <t>TOTAL CURRENT ASSETS</t>
  </si>
  <si>
    <t>CREDITORS PAYABLE WITHIN 1 YEAR</t>
  </si>
  <si>
    <t>Creditors Control Account</t>
  </si>
  <si>
    <t>Corporation Tax</t>
  </si>
  <si>
    <t>PAYE &amp; NI</t>
  </si>
  <si>
    <t>VAT</t>
  </si>
  <si>
    <t>Accruals &amp; Prepayments</t>
  </si>
  <si>
    <t>Accumulated Depreciation Provision</t>
  </si>
  <si>
    <t>TOTAL CREDITORS PAYABLE WITHIN 1 YEAR</t>
  </si>
  <si>
    <t>NET CURRENT ASSETS</t>
  </si>
  <si>
    <t>CREDITORS DUE AFTER MORE THAN 1 YEAR</t>
  </si>
  <si>
    <t>I. N. Rankin Oil Ltd</t>
  </si>
  <si>
    <t>TOTAL CREDITORS DUE AFTER MORE THAN 1 YR</t>
  </si>
  <si>
    <t>TOTAL NET ASSETS</t>
  </si>
  <si>
    <t>SHAREHOLDERS' FUNDS</t>
  </si>
  <si>
    <t>Share Capital</t>
  </si>
  <si>
    <t>Profit &amp; Loss Prior Years</t>
  </si>
  <si>
    <t>Profit &amp; Loss Current Year</t>
  </si>
  <si>
    <t>TOTAL SHAREHOLDERS' FUNDS</t>
  </si>
  <si>
    <t>Code</t>
  </si>
  <si>
    <t>Prev Year</t>
  </si>
  <si>
    <t>-</t>
  </si>
  <si>
    <t>MTD</t>
  </si>
  <si>
    <t>YTD and MTD Figures from old reports</t>
  </si>
  <si>
    <t>9999</t>
  </si>
  <si>
    <t>8440</t>
  </si>
  <si>
    <t>8435</t>
  </si>
  <si>
    <t>8430</t>
  </si>
  <si>
    <t>8426</t>
  </si>
  <si>
    <t>8424</t>
  </si>
  <si>
    <t>8421</t>
  </si>
  <si>
    <t>8420</t>
  </si>
  <si>
    <t>8414</t>
  </si>
  <si>
    <t>8408</t>
  </si>
  <si>
    <t>8405</t>
  </si>
  <si>
    <t>8402</t>
  </si>
  <si>
    <t>8204</t>
  </si>
  <si>
    <t>7206</t>
  </si>
  <si>
    <t>7105</t>
  </si>
  <si>
    <t>7000</t>
  </si>
  <si>
    <t>6200</t>
  </si>
  <si>
    <t>6100</t>
  </si>
  <si>
    <t>4905</t>
  </si>
  <si>
    <t>4009</t>
  </si>
  <si>
    <t>4000</t>
  </si>
  <si>
    <t>2220</t>
  </si>
  <si>
    <t>2211</t>
  </si>
  <si>
    <t>2210</t>
  </si>
  <si>
    <t>2202</t>
  </si>
  <si>
    <t>2201</t>
  </si>
  <si>
    <t>2200</t>
  </si>
  <si>
    <t>2109</t>
  </si>
  <si>
    <t>2100</t>
  </si>
  <si>
    <t>1212</t>
  </si>
  <si>
    <t>1200</t>
  </si>
  <si>
    <t>1120</t>
  </si>
  <si>
    <t>1100</t>
  </si>
  <si>
    <t>1001</t>
  </si>
  <si>
    <t>8433</t>
  </si>
  <si>
    <t>8410</t>
  </si>
  <si>
    <t>8400</t>
  </si>
  <si>
    <t>8300</t>
  </si>
  <si>
    <t>8200</t>
  </si>
  <si>
    <t>8100</t>
  </si>
  <si>
    <t>7204</t>
  </si>
  <si>
    <t>7202</t>
  </si>
  <si>
    <t>7200</t>
  </si>
  <si>
    <t>7102</t>
  </si>
  <si>
    <t>6201</t>
  </si>
  <si>
    <t>5000</t>
  </si>
  <si>
    <t>1250</t>
  </si>
  <si>
    <t>Fixed Assets</t>
  </si>
  <si>
    <t>Current Assets</t>
  </si>
  <si>
    <t>Creditors Payable within 1 year</t>
  </si>
  <si>
    <t>Consolidated Historical Management Balance Sheets</t>
  </si>
  <si>
    <t>Shareholders Funds</t>
  </si>
  <si>
    <t>Copied and pasted from Management sheet and checked against printed record</t>
  </si>
  <si>
    <t>Consolidated Curent and Historical Transaction Trial Balances</t>
  </si>
  <si>
    <t>Copied and pasted from import sheet</t>
  </si>
  <si>
    <t>Check</t>
  </si>
  <si>
    <t>This data should match historical data</t>
  </si>
  <si>
    <t>Draft</t>
  </si>
  <si>
    <t>1205</t>
  </si>
  <si>
    <t>Aug</t>
  </si>
  <si>
    <t>Jul</t>
  </si>
  <si>
    <t>Sep</t>
  </si>
  <si>
    <t>Jun</t>
  </si>
  <si>
    <t>May</t>
  </si>
  <si>
    <t>Apr</t>
  </si>
  <si>
    <t>Mar</t>
  </si>
  <si>
    <t>Feb</t>
  </si>
  <si>
    <t>Sign</t>
  </si>
  <si>
    <t>Accounting Equation</t>
  </si>
  <si>
    <t>DRAFT FINALISING CASH and CREDITORS</t>
  </si>
  <si>
    <t>Check accounting equation</t>
  </si>
  <si>
    <t>Nov</t>
  </si>
  <si>
    <t>1240</t>
  </si>
  <si>
    <t>1252</t>
  </si>
  <si>
    <t>1254</t>
  </si>
  <si>
    <t>1256</t>
  </si>
  <si>
    <t>1260</t>
  </si>
  <si>
    <t>1262</t>
  </si>
  <si>
    <t>7103</t>
  </si>
  <si>
    <t>8102</t>
  </si>
  <si>
    <t>Report control variables</t>
  </si>
  <si>
    <t>These are used to control what goes where.</t>
  </si>
  <si>
    <t>Prev MTH</t>
  </si>
  <si>
    <t>Balance sheet</t>
  </si>
  <si>
    <t>Tag of previous years balance sheet</t>
  </si>
  <si>
    <t>Which column is it in</t>
  </si>
  <si>
    <t>BS_PY_COL</t>
  </si>
  <si>
    <t>BS_PY</t>
  </si>
  <si>
    <t>Last years balance sheet</t>
  </si>
  <si>
    <t>BS_PM</t>
  </si>
  <si>
    <t>Prev MTH Year</t>
  </si>
  <si>
    <t>Prev Month</t>
  </si>
  <si>
    <t>Jan</t>
  </si>
  <si>
    <t>Oct</t>
  </si>
  <si>
    <t>Dec</t>
  </si>
  <si>
    <t>Year adj</t>
  </si>
  <si>
    <t xml:space="preserve">Prev month table </t>
  </si>
  <si>
    <t>Prev MTH index</t>
  </si>
  <si>
    <t>BS_PM_COL</t>
  </si>
  <si>
    <t>Tag of previous months balance sheet</t>
  </si>
  <si>
    <t>Tag of opening months balance sheet</t>
  </si>
  <si>
    <t>Month of report</t>
  </si>
  <si>
    <t>Year of report</t>
  </si>
  <si>
    <t>BS_OM</t>
  </si>
  <si>
    <t>BS_OM_COL</t>
  </si>
  <si>
    <t>Month of opening balance sheet</t>
  </si>
  <si>
    <t>Year of opening balance sheet</t>
  </si>
  <si>
    <t>TTB_YTD</t>
  </si>
  <si>
    <t>TTB_TDD_OM</t>
  </si>
  <si>
    <t>Current Report</t>
  </si>
  <si>
    <t>Report_Month</t>
  </si>
  <si>
    <t>Transaction trial balance year to date</t>
  </si>
  <si>
    <t>Transaction trial balance month to date</t>
  </si>
  <si>
    <t>TTB_MTD_CUR</t>
  </si>
  <si>
    <t>Indexes into Transaction Trial Balances</t>
  </si>
  <si>
    <t>PLTD_PYTD</t>
  </si>
  <si>
    <t>P&amp;L to date for previous year</t>
  </si>
  <si>
    <t>PLTD_PYPMTD</t>
  </si>
  <si>
    <t>P&amp;L previous month</t>
  </si>
  <si>
    <t>Indexes into P&amp;L todate figures (table MTD)</t>
  </si>
  <si>
    <t>PLTD_PYYTD</t>
  </si>
  <si>
    <t>7906</t>
  </si>
  <si>
    <t>Current</t>
  </si>
  <si>
    <t>PLTD_YTD</t>
  </si>
  <si>
    <t>P&amp;L for this report if already in DB</t>
  </si>
  <si>
    <t>PLTD_MTD</t>
  </si>
  <si>
    <t>Report YTD</t>
  </si>
  <si>
    <t>Report MTD</t>
  </si>
  <si>
    <t>Report Row</t>
  </si>
  <si>
    <t>A</t>
  </si>
  <si>
    <t>C</t>
  </si>
  <si>
    <t>F</t>
  </si>
  <si>
    <t>0021</t>
  </si>
  <si>
    <t>0030</t>
  </si>
  <si>
    <t>0031</t>
  </si>
  <si>
    <t>0040</t>
  </si>
  <si>
    <t>0041</t>
  </si>
  <si>
    <t>1115</t>
  </si>
  <si>
    <t>1207</t>
  </si>
  <si>
    <t>1210</t>
  </si>
  <si>
    <t>1220</t>
  </si>
  <si>
    <t>1230</t>
  </si>
  <si>
    <t>1232</t>
  </si>
  <si>
    <t>2101</t>
  </si>
  <si>
    <t>2102</t>
  </si>
  <si>
    <t>2320</t>
  </si>
  <si>
    <t>3200</t>
  </si>
  <si>
    <t>5001</t>
  </si>
  <si>
    <t>7100</t>
  </si>
  <si>
    <t>8301</t>
  </si>
  <si>
    <t>9998</t>
  </si>
  <si>
    <t>This translates the Sage chart of accounts to the MIS acounts</t>
  </si>
  <si>
    <t>Check data</t>
  </si>
  <si>
    <t>Check exactly oone</t>
  </si>
  <si>
    <t>Data from Sage</t>
  </si>
  <si>
    <t>MIS Report</t>
  </si>
  <si>
    <t>Should be Zero</t>
  </si>
  <si>
    <t>Opening data</t>
  </si>
  <si>
    <t>Match</t>
  </si>
  <si>
    <t>MIS Nominal Code space</t>
  </si>
  <si>
    <t>SAGE Nominal code Account Space</t>
  </si>
  <si>
    <t>End of Month</t>
  </si>
  <si>
    <t>End of Prev Month</t>
  </si>
  <si>
    <t>Month</t>
  </si>
  <si>
    <t>Check MTD</t>
  </si>
  <si>
    <t>Transaction trial balance Opening month</t>
  </si>
  <si>
    <t>Transaction trial balance previous month</t>
  </si>
  <si>
    <t>TTB_YTD_PM</t>
  </si>
  <si>
    <t>YTD Calc</t>
  </si>
  <si>
    <t>Opening</t>
  </si>
  <si>
    <t>P&amp;L for opening month YTD</t>
  </si>
  <si>
    <t>PLTD_OMYTD</t>
  </si>
  <si>
    <t>OTD</t>
  </si>
  <si>
    <t>OTPM</t>
  </si>
  <si>
    <t>Opening to prev month</t>
  </si>
  <si>
    <t>P&amp;L from Opening balance to Period End</t>
  </si>
  <si>
    <t>Asset type</t>
  </si>
  <si>
    <t>Account name</t>
  </si>
  <si>
    <t>Assets</t>
  </si>
  <si>
    <t>Liabilities</t>
  </si>
  <si>
    <t>Equity</t>
  </si>
  <si>
    <t>Income</t>
  </si>
  <si>
    <t>Expenses</t>
  </si>
  <si>
    <t>Purchases</t>
  </si>
  <si>
    <t>Usual</t>
  </si>
  <si>
    <t>Profit and loss Ledger</t>
  </si>
  <si>
    <t>Net profit for opening to date</t>
  </si>
  <si>
    <t>Net Profit carried forward for opening to date</t>
  </si>
  <si>
    <t>TB Col</t>
  </si>
  <si>
    <t>Materials Cost Adjustment</t>
  </si>
  <si>
    <t>YTOM</t>
  </si>
  <si>
    <t>Number of BS accounts</t>
  </si>
  <si>
    <t>Number of P&amp;L accounts</t>
  </si>
  <si>
    <t>Change from OM</t>
  </si>
  <si>
    <t>Checking</t>
  </si>
  <si>
    <t>Bank Account est 6518</t>
  </si>
  <si>
    <t>1102</t>
  </si>
  <si>
    <t>2105</t>
  </si>
  <si>
    <t>2108</t>
  </si>
  <si>
    <t>3000</t>
  </si>
  <si>
    <t>3210</t>
  </si>
  <si>
    <t>7006</t>
  </si>
  <si>
    <t>7020</t>
  </si>
  <si>
    <t>8201</t>
  </si>
  <si>
    <t>8310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</si>
  <si>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</si>
  <si>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</si>
  <si>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</si>
  <si>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</si>
  <si>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</si>
  <si>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</si>
  <si>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</si>
  <si>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</si>
  <si>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</si>
  <si>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</si>
  <si>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</si>
  <si>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</si>
  <si>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TTB-YTD-FEB-15</t>
  </si>
  <si>
    <t>TTB-YTD-MAR-15</t>
  </si>
  <si>
    <t>TTB-YTD-APR-15</t>
  </si>
  <si>
    <t>TTB-YTD-MAY-15</t>
  </si>
  <si>
    <t>TTB-YTD-JUN-15</t>
  </si>
  <si>
    <t>TTB-YTD-JUL-15</t>
  </si>
  <si>
    <t>TTB-YTD-AUG-15</t>
  </si>
  <si>
    <t>TTB-YTD-SEP-15</t>
  </si>
  <si>
    <t>TTB-YTD-OCT-15</t>
  </si>
  <si>
    <t>TTB-YTD-NOV-15</t>
  </si>
  <si>
    <t>TTB-YTD-DEC-15</t>
  </si>
  <si>
    <t>TTB-YTD-JAN-16</t>
  </si>
  <si>
    <t>TTB-MTD-FEB-15</t>
  </si>
  <si>
    <t>TTB-MTD-MAR-15</t>
  </si>
  <si>
    <t>TTB-MTD-APR-15</t>
  </si>
  <si>
    <t>TTB-MTD-MAY-15</t>
  </si>
  <si>
    <t>1104</t>
  </si>
  <si>
    <t>1117</t>
  </si>
  <si>
    <t>1263</t>
  </si>
  <si>
    <t>7503</t>
  </si>
  <si>
    <t>7901</t>
  </si>
  <si>
    <t>P&amp;L opening month</t>
  </si>
  <si>
    <t>TTB-YTD-JAN-15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</si>
  <si>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</si>
  <si>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</si>
  <si>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</si>
  <si>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</si>
  <si>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</si>
  <si>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</si>
  <si>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</si>
  <si>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</si>
  <si>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Aug-14</t>
  </si>
  <si>
    <t>Sep-14</t>
  </si>
  <si>
    <t>Oct-14</t>
  </si>
  <si>
    <t>Nov-14</t>
  </si>
  <si>
    <t>Dec-14</t>
  </si>
  <si>
    <t>Jan-15</t>
  </si>
  <si>
    <t>TTB-YTD-DEC-13</t>
  </si>
  <si>
    <t>TTB-YTD-JAN-14</t>
  </si>
  <si>
    <t>TTB-YTD-FEB-14</t>
  </si>
  <si>
    <t>TTB-YTD-MAR-14</t>
  </si>
  <si>
    <t>TTB-YTD-APR-14</t>
  </si>
  <si>
    <t>TTB-YTD-MAY-14</t>
  </si>
  <si>
    <t>TTB-YTD-JUN-14</t>
  </si>
  <si>
    <t>TTB-YTD-JUL-14</t>
  </si>
  <si>
    <t>TTB-YTD-AUG-14</t>
  </si>
  <si>
    <t>TTB-YTD-SEP-14</t>
  </si>
  <si>
    <t>TTB-YTD-OCT-14</t>
  </si>
  <si>
    <t>TTB-YTD-NOV-14</t>
  </si>
  <si>
    <t>TTB-YTD-DEC-14</t>
  </si>
  <si>
    <t>TTB-MTD-DEC-13</t>
  </si>
  <si>
    <t>TTB-MTD-JAN-14</t>
  </si>
  <si>
    <t>TTB-MTD-FEB-14</t>
  </si>
  <si>
    <t>TTB-MTD-MAR-14</t>
  </si>
  <si>
    <t>TTB-MTD-APR-14</t>
  </si>
  <si>
    <t>TTB-MTD-MAY-14</t>
  </si>
  <si>
    <t>TTB-MTD-JUN-14</t>
  </si>
  <si>
    <t>TTB-MTD-JUL-14</t>
  </si>
  <si>
    <t>TTB-MTD-AUG-14</t>
  </si>
  <si>
    <t>TTB-MTD-SEP-14</t>
  </si>
  <si>
    <t>TTB-MTD-OCT-14</t>
  </si>
  <si>
    <t>TTB-MTD-NOV-14</t>
  </si>
  <si>
    <t>TTB-MTD-DEC-14</t>
  </si>
  <si>
    <t>TTB-MTD-JAN-15</t>
  </si>
  <si>
    <t>EOY</t>
  </si>
  <si>
    <t>0020</t>
  </si>
  <si>
    <t>Testing EOY Balance sheet</t>
  </si>
  <si>
    <t>Sum P&amp;L items</t>
  </si>
  <si>
    <t>Dr</t>
  </si>
  <si>
    <t>Cr</t>
  </si>
  <si>
    <t>Opening Balance</t>
  </si>
  <si>
    <t>TTB-EOY-JAN-14</t>
  </si>
  <si>
    <t>Report Month</t>
  </si>
  <si>
    <t>Report Year</t>
  </si>
  <si>
    <t>Opening TB Month</t>
  </si>
  <si>
    <t>Opening  TB Year</t>
  </si>
  <si>
    <t>Opening TB Type</t>
  </si>
  <si>
    <t>From Start of year to Opening</t>
  </si>
  <si>
    <t>For YTD</t>
  </si>
  <si>
    <t xml:space="preserve">Opening </t>
  </si>
  <si>
    <t>OldEOY</t>
  </si>
  <si>
    <t>TTB-OldEOY-JAN-14</t>
  </si>
  <si>
    <t>Material Cost Adjustment</t>
  </si>
  <si>
    <t>Previous period and year details</t>
  </si>
  <si>
    <t>Total  Materials Cost</t>
  </si>
  <si>
    <t>Date of opening period</t>
  </si>
  <si>
    <t>OpeningPeriodName</t>
  </si>
  <si>
    <t>Opening to date</t>
  </si>
  <si>
    <t>P&amp;L</t>
  </si>
  <si>
    <t>YTD for</t>
  </si>
  <si>
    <t>A YTD figure from a prior period</t>
  </si>
  <si>
    <t>Start of year</t>
  </si>
  <si>
    <t>Raw</t>
  </si>
  <si>
    <t>EOY Calc</t>
  </si>
  <si>
    <t>Selected result</t>
  </si>
  <si>
    <t>Historic</t>
  </si>
  <si>
    <t>figure</t>
  </si>
  <si>
    <t>For YTD calc</t>
  </si>
  <si>
    <t>Trial balance data</t>
  </si>
  <si>
    <t>Make sure BS</t>
  </si>
  <si>
    <t>Works</t>
  </si>
  <si>
    <t>BS</t>
  </si>
  <si>
    <t>Minus P&amp;L</t>
  </si>
  <si>
    <t>1004</t>
  </si>
  <si>
    <t>1101</t>
  </si>
  <si>
    <t>1110</t>
  </si>
  <si>
    <t>Historic Data</t>
  </si>
  <si>
    <t>Prior Report</t>
  </si>
  <si>
    <t>Balance Sheet</t>
  </si>
  <si>
    <t>YTD or EOY</t>
  </si>
  <si>
    <t>2204</t>
  </si>
  <si>
    <t>TTB-MTD-JUN-15</t>
  </si>
  <si>
    <t>TTB-MTD-JUL-15</t>
  </si>
  <si>
    <t>exit</t>
  </si>
  <si>
    <t>FY 2014-2015</t>
  </si>
  <si>
    <t>Last</t>
  </si>
  <si>
    <t>Check exactly one</t>
  </si>
  <si>
    <t>TTB-EOY-JAN-15</t>
  </si>
  <si>
    <t>TTB-MTD-AUG-15</t>
  </si>
  <si>
    <t>TTB-MTD-SEP-15</t>
  </si>
  <si>
    <t>TTB-MTD-OCT-15</t>
  </si>
  <si>
    <t>TTB-MTD-JAN-16</t>
  </si>
  <si>
    <t>7604</t>
  </si>
  <si>
    <t xml:space="preserve">This shee is the data from this month presented as the MTD figure for a future management report. </t>
  </si>
  <si>
    <t>Also carry out a check to see if there is data in the current database and if that matches</t>
  </si>
  <si>
    <t>In this Report</t>
  </si>
  <si>
    <t>From Database</t>
  </si>
  <si>
    <t>MTD Col</t>
  </si>
  <si>
    <t>TTB-MTD-NOV-15</t>
  </si>
  <si>
    <t>TTB-MTD-DEC-15</t>
  </si>
  <si>
    <t>EOY for balance sheet, YTD for mid year</t>
  </si>
  <si>
    <t>Adjustments</t>
  </si>
  <si>
    <t>Final figures</t>
  </si>
  <si>
    <t>Nov 14</t>
  </si>
  <si>
    <t>PLTD-MTD-NOV-14</t>
  </si>
  <si>
    <t>PLTD-YTD-NOV-14</t>
  </si>
  <si>
    <t>Dec 14</t>
  </si>
  <si>
    <t>PLTD-MTD-DEC-14</t>
  </si>
  <si>
    <t>PLTD-YTD-DEC-14</t>
  </si>
  <si>
    <t>Row</t>
  </si>
  <si>
    <t>BS-DEC-14</t>
  </si>
  <si>
    <t>Jan 15</t>
  </si>
  <si>
    <t>PLTD-MTD-JAN-15</t>
  </si>
  <si>
    <t>PLTD-YTD-JAN-15</t>
  </si>
  <si>
    <t>BS-JAN-15</t>
  </si>
  <si>
    <t>Feb 15</t>
  </si>
  <si>
    <t>PLTD-MTD-FEB-15</t>
  </si>
  <si>
    <t>PLTD-YTD-FEB-15</t>
  </si>
  <si>
    <t>BS-FEB-15</t>
  </si>
  <si>
    <t>Mar 15</t>
  </si>
  <si>
    <t>PLTD-MTD-MAR-15</t>
  </si>
  <si>
    <t>PLTD-YTD-MAR-15</t>
  </si>
  <si>
    <t>BS-MAR-15</t>
  </si>
  <si>
    <t>Apr 15</t>
  </si>
  <si>
    <t>PLTD-MTD-APR-15</t>
  </si>
  <si>
    <t>PLTD-YTD-APR-15</t>
  </si>
  <si>
    <t>BS-APR-15</t>
  </si>
  <si>
    <t>Dec 15</t>
  </si>
  <si>
    <t>PLTD-MTD-DEC-15</t>
  </si>
  <si>
    <t>PLTD-YTD-DEC-15</t>
  </si>
  <si>
    <t>BS-DEC-15</t>
  </si>
  <si>
    <t>Feb-16</t>
  </si>
  <si>
    <t>Mar-16</t>
  </si>
  <si>
    <t>Apr-16</t>
  </si>
  <si>
    <t>May-16</t>
  </si>
  <si>
    <t>Jun-16</t>
  </si>
  <si>
    <t>Jul-16</t>
  </si>
  <si>
    <t>Aug-16</t>
  </si>
  <si>
    <t>Sep-16</t>
  </si>
  <si>
    <t>Oct-16</t>
  </si>
  <si>
    <t>Nov-16</t>
  </si>
  <si>
    <t>Dec-16</t>
  </si>
  <si>
    <t>Jan-17</t>
  </si>
  <si>
    <t>TTB-YTD-FEB-16</t>
  </si>
  <si>
    <t>TTB-YTD-MAR-16</t>
  </si>
  <si>
    <t>TTB-YTD-APR-16</t>
  </si>
  <si>
    <t>TTB-YTD-MAY-16</t>
  </si>
  <si>
    <t>TTB-YTD-JUN-16</t>
  </si>
  <si>
    <t>TTB-YTD-JUL-16</t>
  </si>
  <si>
    <t>TTB-YTD-AUG-16</t>
  </si>
  <si>
    <t>TTB-YTD-SEP-16</t>
  </si>
  <si>
    <t>TTB-YTD-OCT-16</t>
  </si>
  <si>
    <t>TTB-YTD-NOV-16</t>
  </si>
  <si>
    <t>TTB-YTD-DEC-16</t>
  </si>
  <si>
    <t>TTB-YTD-JAN-17</t>
  </si>
  <si>
    <t>TTB-MTD-FEB-16</t>
  </si>
  <si>
    <t>TTB-MTD-MAR-16</t>
  </si>
  <si>
    <t>TTB-MTD-APR-16</t>
  </si>
  <si>
    <t>TTB-MTD-SEP-16</t>
  </si>
  <si>
    <t>TTB-MTD-OCT-16</t>
  </si>
  <si>
    <t>Copied and linked from import sheet</t>
  </si>
  <si>
    <t>TTB-EOY-JAN-16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</si>
</sst>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#,##0_ ;[Red]\-#,##0\ "/>
    <numFmt numFmtId="167" formatCode="#,##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u/>
      <sz val="10"/>
      <name val="Arial"/>
      <family val="2"/>
    </font>
    <font>
      <sz val="10"/>
      <name val="Tahoma"/>
      <family val="2"/>
    </font>
    <font>
      <sz val="8"/>
      <color indexed="8"/>
      <name val="Tahoma"/>
      <family val="2"/>
    </font>
    <font>
      <sz val="10"/>
      <name val="Tahoma"/>
      <family val="2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8"/>
      <color indexed="8"/>
      <name val="Tahoma"/>
      <family val="2"/>
    </font>
    <font>
      <sz val="18"/>
      <color theme="1"/>
      <name val="Calibri"/>
      <family val="2"/>
      <scheme val="minor"/>
    </font>
    <font>
      <sz val="11"/>
      <color rgb="FF000000"/>
      <name val="Cambri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9"/>
      <name val="Arial"/>
      <family val="2"/>
    </font>
    <font>
      <b/>
      <i/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38">
    <xf numFmtId="0" fontId="0" fillId="0" borderId="0"/>
    <xf numFmtId="0" fontId="18" fillId="0" borderId="0"/>
    <xf numFmtId="0" fontId="20" fillId="0" borderId="0"/>
    <xf numFmtId="0" fontId="18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  <xf numFmtId="165" fontId="20" fillId="0" borderId="0" applyFont="0" applyFill="0" applyBorder="0" applyAlignment="0" applyProtection="0"/>
    <xf numFmtId="0" fontId="24" fillId="0" borderId="0"/>
    <xf numFmtId="0" fontId="26" fillId="0" borderId="0"/>
  </cellStyleXfs>
  <cellXfs count="152">
    <xf numFmtId="0" fontId="0" fillId="0" borderId="0" xfId="0"/>
    <xf numFmtId="1" fontId="19" fillId="0" borderId="0" xfId="1" applyNumberFormat="1" applyFont="1" applyFill="1" applyAlignment="1" applyProtection="1">
      <alignment horizontal="center" vertical="center" wrapText="1"/>
      <protection locked="0"/>
    </xf>
    <xf numFmtId="0" fontId="19" fillId="0" borderId="0" xfId="1" applyNumberFormat="1" applyFont="1" applyFill="1" applyAlignment="1" applyProtection="1">
      <alignment horizontal="center" vertical="center" wrapText="1"/>
      <protection locked="0"/>
    </xf>
    <xf numFmtId="17" fontId="19" fillId="0" borderId="0" xfId="1" quotePrefix="1" applyNumberFormat="1" applyFont="1" applyFill="1" applyAlignment="1">
      <alignment horizontal="center"/>
    </xf>
    <xf numFmtId="164" fontId="19" fillId="0" borderId="0" xfId="1" quotePrefix="1" applyNumberFormat="1" applyFont="1" applyFill="1" applyAlignment="1">
      <alignment horizontal="center"/>
    </xf>
    <xf numFmtId="0" fontId="20" fillId="0" borderId="0" xfId="2"/>
    <xf numFmtId="2" fontId="20" fillId="0" borderId="0" xfId="2" applyNumberFormat="1"/>
    <xf numFmtId="164" fontId="19" fillId="0" borderId="0" xfId="1" applyNumberFormat="1" applyFont="1" applyFill="1" applyAlignment="1" applyProtection="1">
      <alignment horizontal="center" vertical="center" wrapText="1"/>
      <protection locked="0"/>
    </xf>
    <xf numFmtId="164" fontId="19" fillId="0" borderId="0" xfId="1" applyNumberFormat="1" applyFont="1" applyFill="1" applyAlignment="1">
      <alignment horizontal="center"/>
    </xf>
    <xf numFmtId="164" fontId="19" fillId="0" borderId="0" xfId="1" applyNumberFormat="1" applyFont="1" applyFill="1" applyAlignment="1" applyProtection="1">
      <alignment horizontal="right" vertical="center" wrapText="1"/>
      <protection locked="0"/>
    </xf>
    <xf numFmtId="164" fontId="19" fillId="0" borderId="0" xfId="1" applyNumberFormat="1" applyFont="1" applyFill="1" applyAlignment="1"/>
    <xf numFmtId="1" fontId="21" fillId="0" borderId="0" xfId="1" applyNumberFormat="1" applyFont="1" applyFill="1" applyAlignment="1" applyProtection="1">
      <alignment horizontal="center" vertical="center" wrapText="1"/>
      <protection locked="0"/>
    </xf>
    <xf numFmtId="164" fontId="19" fillId="0" borderId="0" xfId="1" applyNumberFormat="1" applyFont="1" applyFill="1" applyAlignment="1" applyProtection="1">
      <alignment horizontal="left" vertical="center" wrapText="1"/>
      <protection locked="0"/>
    </xf>
    <xf numFmtId="164" fontId="19" fillId="0" borderId="0" xfId="2" applyNumberFormat="1" applyFont="1" applyAlignment="1">
      <alignment horizontal="right"/>
    </xf>
    <xf numFmtId="164" fontId="21" fillId="0" borderId="0" xfId="1" applyNumberFormat="1" applyFont="1" applyFill="1" applyAlignment="1" applyProtection="1">
      <alignment horizontal="left" vertical="center" wrapText="1"/>
      <protection locked="0"/>
    </xf>
    <xf numFmtId="164" fontId="21" fillId="0" borderId="0" xfId="1" applyNumberFormat="1" applyFont="1" applyFill="1" applyAlignment="1" applyProtection="1">
      <alignment horizontal="right" vertical="center" wrapText="1"/>
      <protection locked="0"/>
    </xf>
    <xf numFmtId="164" fontId="19" fillId="0" borderId="0" xfId="1" applyNumberFormat="1" applyFont="1" applyFill="1" applyAlignment="1">
      <alignment horizontal="right"/>
    </xf>
    <xf numFmtId="164" fontId="21" fillId="0" borderId="0" xfId="1" applyNumberFormat="1" applyFont="1" applyFill="1" applyAlignment="1">
      <alignment horizontal="right"/>
    </xf>
    <xf numFmtId="1" fontId="21" fillId="0" borderId="0" xfId="1" applyNumberFormat="1" applyFont="1" applyFill="1" applyBorder="1" applyAlignment="1" applyProtection="1">
      <alignment horizontal="center" vertical="center" wrapText="1"/>
      <protection locked="0"/>
    </xf>
    <xf numFmtId="164" fontId="21" fillId="0" borderId="0" xfId="1" applyNumberFormat="1" applyFont="1" applyFill="1" applyBorder="1" applyAlignment="1" applyProtection="1">
      <alignment horizontal="left" vertical="center" wrapText="1"/>
      <protection locked="0"/>
    </xf>
    <xf numFmtId="1" fontId="21" fillId="0" borderId="0" xfId="1" applyNumberFormat="1" applyFont="1" applyFill="1" applyBorder="1" applyAlignment="1" applyProtection="1">
      <alignment horizontal="center" wrapText="1"/>
      <protection locked="0"/>
    </xf>
    <xf numFmtId="164" fontId="21" fillId="0" borderId="0" xfId="1" applyNumberFormat="1" applyFont="1" applyFill="1" applyBorder="1" applyAlignment="1" applyProtection="1">
      <alignment horizontal="left" wrapText="1"/>
      <protection locked="0"/>
    </xf>
    <xf numFmtId="164" fontId="19" fillId="0" borderId="0" xfId="3" applyNumberFormat="1" applyFont="1" applyAlignment="1" applyProtection="1">
      <alignment horizontal="right" vertical="center" wrapText="1"/>
      <protection locked="0"/>
    </xf>
    <xf numFmtId="164" fontId="22" fillId="0" borderId="0" xfId="3" applyNumberFormat="1" applyFont="1" applyAlignment="1" applyProtection="1">
      <alignment horizontal="right" vertical="center" wrapText="1"/>
      <protection locked="0"/>
    </xf>
    <xf numFmtId="164" fontId="21" fillId="0" borderId="0" xfId="2" applyNumberFormat="1" applyFont="1" applyAlignment="1">
      <alignment horizontal="right"/>
    </xf>
    <xf numFmtId="0" fontId="21" fillId="0" borderId="0" xfId="2" applyFont="1"/>
    <xf numFmtId="164" fontId="21" fillId="0" borderId="0" xfId="2" applyNumberFormat="1" applyFont="1"/>
    <xf numFmtId="0" fontId="23" fillId="0" borderId="0" xfId="2" applyFont="1" applyAlignment="1">
      <alignment horizontal="center"/>
    </xf>
    <xf numFmtId="4" fontId="20" fillId="0" borderId="0" xfId="2" applyNumberFormat="1"/>
    <xf numFmtId="164" fontId="19" fillId="0" borderId="0" xfId="2" applyNumberFormat="1" applyFont="1" applyAlignment="1">
      <alignment horizontal="center"/>
    </xf>
    <xf numFmtId="0" fontId="19" fillId="0" borderId="0" xfId="2" applyFont="1"/>
    <xf numFmtId="3" fontId="19" fillId="0" borderId="0" xfId="2" applyNumberFormat="1" applyFont="1"/>
    <xf numFmtId="164" fontId="19" fillId="0" borderId="0" xfId="2" applyNumberFormat="1" applyFont="1"/>
    <xf numFmtId="3" fontId="21" fillId="0" borderId="0" xfId="2" applyNumberFormat="1" applyFont="1"/>
    <xf numFmtId="0" fontId="19" fillId="0" borderId="0" xfId="2" applyFont="1" applyAlignment="1">
      <alignment horizontal="center"/>
    </xf>
    <xf numFmtId="0" fontId="19" fillId="0" borderId="0" xfId="2" applyFont="1" applyFill="1" applyBorder="1"/>
    <xf numFmtId="3" fontId="19" fillId="0" borderId="0" xfId="2" applyNumberFormat="1" applyFont="1" applyFill="1" applyBorder="1"/>
    <xf numFmtId="164" fontId="19" fillId="0" borderId="0" xfId="2" applyNumberFormat="1" applyFont="1" applyFill="1" applyBorder="1"/>
    <xf numFmtId="3" fontId="20" fillId="0" borderId="0" xfId="2" applyNumberFormat="1"/>
    <xf numFmtId="0" fontId="20" fillId="0" borderId="0" xfId="2" applyAlignment="1">
      <alignment horizontal="left"/>
    </xf>
    <xf numFmtId="0" fontId="16" fillId="0" borderId="0" xfId="0" applyFont="1"/>
    <xf numFmtId="2" fontId="19" fillId="0" borderId="0" xfId="2" applyNumberFormat="1" applyFont="1"/>
    <xf numFmtId="0" fontId="16" fillId="34" borderId="0" xfId="0" applyFont="1" applyFill="1"/>
    <xf numFmtId="1" fontId="19" fillId="0" borderId="0" xfId="1" applyNumberFormat="1" applyFont="1" applyFill="1" applyBorder="1" applyAlignment="1" applyProtection="1">
      <alignment horizontal="center" vertical="center" wrapText="1"/>
      <protection locked="0"/>
    </xf>
    <xf numFmtId="1" fontId="19" fillId="0" borderId="0" xfId="1" applyNumberFormat="1" applyFont="1" applyFill="1" applyBorder="1" applyAlignment="1" applyProtection="1">
      <alignment horizontal="center" wrapText="1"/>
      <protection locked="0"/>
    </xf>
    <xf numFmtId="0" fontId="16" fillId="34" borderId="0" xfId="0" applyFont="1" applyFill="1" applyAlignment="1">
      <alignment horizontal="center"/>
    </xf>
    <xf numFmtId="17" fontId="16" fillId="34" borderId="0" xfId="0" applyNumberFormat="1" applyFont="1" applyFill="1" applyAlignment="1">
      <alignment horizontal="center"/>
    </xf>
    <xf numFmtId="4" fontId="25" fillId="0" borderId="0" xfId="736" applyNumberFormat="1" applyFont="1" applyAlignment="1">
      <alignment horizontal="left"/>
    </xf>
    <xf numFmtId="9" fontId="20" fillId="0" borderId="0" xfId="2" applyNumberFormat="1"/>
    <xf numFmtId="0" fontId="21" fillId="0" borderId="0" xfId="0" applyFont="1" applyAlignment="1">
      <alignment horizontal="center"/>
    </xf>
    <xf numFmtId="0" fontId="21" fillId="0" borderId="0" xfId="0" applyFont="1"/>
    <xf numFmtId="0" fontId="19" fillId="0" borderId="0" xfId="0" applyFont="1" applyFill="1" applyBorder="1"/>
    <xf numFmtId="0" fontId="21" fillId="0" borderId="0" xfId="2" applyFont="1" applyAlignment="1">
      <alignment horizontal="center"/>
    </xf>
    <xf numFmtId="3" fontId="19" fillId="0" borderId="0" xfId="2" applyNumberFormat="1" applyFont="1" applyFill="1"/>
    <xf numFmtId="3" fontId="21" fillId="0" borderId="0" xfId="2" applyNumberFormat="1" applyFont="1" applyFill="1"/>
    <xf numFmtId="164" fontId="19" fillId="0" borderId="0" xfId="2" applyNumberFormat="1" applyFont="1" applyFill="1"/>
    <xf numFmtId="0" fontId="27" fillId="0" borderId="0" xfId="0" applyFont="1"/>
    <xf numFmtId="0" fontId="0" fillId="33" borderId="0" xfId="0" applyFill="1"/>
    <xf numFmtId="0" fontId="0" fillId="0" borderId="0" xfId="0" applyAlignment="1">
      <alignment horizontal="center"/>
    </xf>
    <xf numFmtId="4" fontId="25" fillId="0" borderId="0" xfId="736" applyNumberFormat="1" applyFont="1" applyAlignment="1">
      <alignment horizontal="right"/>
    </xf>
    <xf numFmtId="4" fontId="25" fillId="0" borderId="0" xfId="736" applyNumberFormat="1" applyFont="1" applyAlignment="1">
      <alignment horizontal="center"/>
    </xf>
    <xf numFmtId="2" fontId="19" fillId="0" borderId="0" xfId="2" applyNumberFormat="1" applyFont="1" applyAlignment="1">
      <alignment horizontal="right"/>
    </xf>
    <xf numFmtId="166" fontId="0" fillId="0" borderId="0" xfId="0" applyNumberFormat="1"/>
    <xf numFmtId="0" fontId="20" fillId="0" borderId="0" xfId="2" applyFont="1" applyAlignment="1">
      <alignment horizontal="right"/>
    </xf>
    <xf numFmtId="0" fontId="28" fillId="0" borderId="0" xfId="0" applyFont="1" applyAlignment="1">
      <alignment horizontal="center"/>
    </xf>
    <xf numFmtId="164" fontId="20" fillId="0" borderId="0" xfId="2" applyNumberFormat="1" applyFont="1"/>
    <xf numFmtId="0" fontId="29" fillId="35" borderId="0" xfId="2" applyFont="1" applyFill="1" applyAlignment="1">
      <alignment horizontal="center"/>
    </xf>
    <xf numFmtId="0" fontId="20" fillId="0" borderId="0" xfId="2" applyAlignment="1">
      <alignment horizontal="right"/>
    </xf>
    <xf numFmtId="164" fontId="19" fillId="0" borderId="0" xfId="735" applyNumberFormat="1" applyFont="1" applyFill="1" applyAlignment="1">
      <alignment horizontal="right"/>
    </xf>
    <xf numFmtId="0" fontId="0" fillId="0" borderId="0" xfId="0"/>
    <xf numFmtId="0" fontId="30" fillId="0" borderId="0" xfId="0" applyFont="1"/>
    <xf numFmtId="164" fontId="19" fillId="0" borderId="0" xfId="2" applyNumberFormat="1" applyFont="1" applyFill="1" applyAlignment="1">
      <alignment horizontal="right"/>
    </xf>
    <xf numFmtId="167" fontId="20" fillId="0" borderId="0" xfId="2" applyNumberFormat="1"/>
    <xf numFmtId="0" fontId="0" fillId="0" borderId="0" xfId="0"/>
    <xf numFmtId="164" fontId="21" fillId="0" borderId="0" xfId="2" applyNumberFormat="1" applyFont="1" applyAlignment="1">
      <alignment horizontal="center"/>
    </xf>
    <xf numFmtId="0" fontId="20" fillId="0" borderId="0" xfId="2" applyFill="1"/>
    <xf numFmtId="0" fontId="0" fillId="0" borderId="0" xfId="0"/>
    <xf numFmtId="17" fontId="19" fillId="0" borderId="0" xfId="2" applyNumberFormat="1" applyFont="1"/>
    <xf numFmtId="0" fontId="31" fillId="0" borderId="0" xfId="0" applyFont="1"/>
    <xf numFmtId="0" fontId="0" fillId="0" borderId="0" xfId="0"/>
    <xf numFmtId="164" fontId="20" fillId="0" borderId="0" xfId="1" applyNumberFormat="1" applyFont="1" applyFill="1" applyBorder="1" applyAlignment="1" applyProtection="1">
      <alignment horizontal="left" vertical="center" wrapText="1"/>
      <protection locked="0"/>
    </xf>
    <xf numFmtId="3" fontId="25" fillId="0" borderId="0" xfId="736" applyNumberFormat="1" applyFont="1" applyAlignment="1">
      <alignment horizontal="center"/>
    </xf>
    <xf numFmtId="4" fontId="32" fillId="0" borderId="0" xfId="736" applyNumberFormat="1" applyFont="1" applyAlignment="1">
      <alignment horizontal="right"/>
    </xf>
    <xf numFmtId="0" fontId="0" fillId="0" borderId="0" xfId="0" applyFont="1"/>
    <xf numFmtId="0" fontId="16" fillId="0" borderId="10" xfId="0" applyFont="1" applyBorder="1" applyAlignment="1">
      <alignment horizontal="center" vertical="top"/>
    </xf>
    <xf numFmtId="0" fontId="0" fillId="36" borderId="0" xfId="0" applyFill="1"/>
    <xf numFmtId="0" fontId="0" fillId="37" borderId="0" xfId="0" applyFill="1"/>
    <xf numFmtId="0" fontId="33" fillId="37" borderId="0" xfId="0" applyFont="1" applyFill="1"/>
    <xf numFmtId="0" fontId="33" fillId="36" borderId="0" xfId="0" applyFont="1" applyFill="1"/>
    <xf numFmtId="4" fontId="32" fillId="0" borderId="0" xfId="736" applyNumberFormat="1" applyFont="1" applyAlignment="1">
      <alignment horizontal="center"/>
    </xf>
    <xf numFmtId="164" fontId="20" fillId="0" borderId="0" xfId="1" applyNumberFormat="1" applyFont="1" applyFill="1" applyAlignment="1" applyProtection="1">
      <alignment horizontal="left" vertical="center" wrapText="1"/>
      <protection locked="0"/>
    </xf>
    <xf numFmtId="0" fontId="20" fillId="0" borderId="0" xfId="2" applyFont="1"/>
    <xf numFmtId="164" fontId="19" fillId="0" borderId="0" xfId="1" applyNumberFormat="1" applyFont="1" applyFill="1" applyAlignment="1" applyProtection="1">
      <alignment horizontal="left" vertical="center"/>
      <protection locked="0"/>
    </xf>
    <xf numFmtId="164" fontId="21" fillId="0" borderId="0" xfId="1" applyNumberFormat="1" applyFont="1" applyFill="1" applyAlignment="1" applyProtection="1">
      <alignment horizontal="left" vertical="center"/>
      <protection locked="0"/>
    </xf>
    <xf numFmtId="164" fontId="20" fillId="0" borderId="0" xfId="1" applyNumberFormat="1" applyFont="1" applyFill="1" applyBorder="1" applyAlignment="1" applyProtection="1">
      <alignment horizontal="left" vertical="center"/>
      <protection locked="0"/>
    </xf>
    <xf numFmtId="164" fontId="21" fillId="0" borderId="0" xfId="1" applyNumberFormat="1" applyFont="1" applyFill="1" applyBorder="1" applyAlignment="1" applyProtection="1">
      <alignment horizontal="left"/>
      <protection locked="0"/>
    </xf>
    <xf numFmtId="164" fontId="21" fillId="0" borderId="0" xfId="1" applyNumberFormat="1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/>
    </xf>
    <xf numFmtId="0" fontId="34" fillId="0" borderId="0" xfId="0" applyFont="1" applyAlignment="1">
      <alignment horizontal="left" vertical="center" indent="1"/>
    </xf>
    <xf numFmtId="164" fontId="20" fillId="0" borderId="0" xfId="2" applyNumberFormat="1"/>
    <xf numFmtId="4" fontId="0" fillId="0" borderId="0" xfId="0" applyNumberFormat="1"/>
    <xf numFmtId="164" fontId="20" fillId="0" borderId="0" xfId="2" applyNumberFormat="1" applyFont="1" applyAlignment="1">
      <alignment horizontal="right"/>
    </xf>
    <xf numFmtId="0" fontId="16" fillId="33" borderId="10" xfId="0" applyFont="1" applyFill="1" applyBorder="1" applyAlignment="1">
      <alignment horizontal="center" vertical="top"/>
    </xf>
    <xf numFmtId="17" fontId="0" fillId="0" borderId="0" xfId="0" applyNumberFormat="1"/>
    <xf numFmtId="0" fontId="16" fillId="0" borderId="10" xfId="0" applyFont="1" applyFill="1" applyBorder="1" applyAlignment="1">
      <alignment horizontal="center" vertical="top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4" fontId="0" fillId="42" borderId="0" xfId="0" applyNumberFormat="1" applyFill="1"/>
    <xf numFmtId="2" fontId="19" fillId="0" borderId="0" xfId="2" applyNumberFormat="1" applyFont="1" applyFill="1"/>
    <xf numFmtId="0" fontId="20" fillId="33" borderId="0" xfId="2" applyFont="1" applyFill="1" applyAlignment="1">
      <alignment horizontal="center"/>
    </xf>
    <xf numFmtId="0" fontId="20" fillId="33" borderId="0" xfId="2" applyFill="1" applyAlignment="1">
      <alignment horizontal="center"/>
    </xf>
    <xf numFmtId="0" fontId="19" fillId="0" borderId="0" xfId="2" applyFont="1" applyFill="1"/>
    <xf numFmtId="1" fontId="29" fillId="0" borderId="0" xfId="1" applyNumberFormat="1" applyFont="1" applyFill="1" applyAlignment="1" applyProtection="1">
      <alignment horizontal="left" vertical="center"/>
      <protection locked="0"/>
    </xf>
    <xf numFmtId="0" fontId="20" fillId="0" borderId="0" xfId="2" applyNumberFormat="1"/>
    <xf numFmtId="0" fontId="20" fillId="0" borderId="0" xfId="2" applyFill="1" applyAlignment="1">
      <alignment horizontal="center"/>
    </xf>
    <xf numFmtId="0" fontId="0" fillId="0" borderId="0" xfId="0" applyAlignment="1">
      <alignment wrapText="1"/>
    </xf>
    <xf numFmtId="2" fontId="20" fillId="43" borderId="0" xfId="2" applyNumberFormat="1" applyFill="1"/>
    <xf numFmtId="0" fontId="20" fillId="43" borderId="0" xfId="2" applyFill="1"/>
    <xf numFmtId="0" fontId="21" fillId="43" borderId="0" xfId="2" applyFont="1" applyFill="1"/>
    <xf numFmtId="17" fontId="20" fillId="43" borderId="0" xfId="2" applyNumberFormat="1" applyFill="1"/>
    <xf numFmtId="164" fontId="19" fillId="43" borderId="0" xfId="1" applyNumberFormat="1" applyFont="1" applyFill="1" applyAlignment="1" applyProtection="1">
      <alignment horizontal="left" vertical="center" wrapText="1"/>
      <protection locked="0"/>
    </xf>
    <xf numFmtId="0" fontId="20" fillId="43" borderId="0" xfId="2" applyFont="1" applyFill="1"/>
    <xf numFmtId="1" fontId="21" fillId="43" borderId="0" xfId="1" applyNumberFormat="1" applyFont="1" applyFill="1" applyAlignment="1" applyProtection="1">
      <alignment horizontal="center" vertical="top" wrapText="1"/>
      <protection locked="0"/>
    </xf>
    <xf numFmtId="2" fontId="21" fillId="43" borderId="0" xfId="1" applyNumberFormat="1" applyFont="1" applyFill="1" applyAlignment="1" applyProtection="1">
      <alignment horizontal="left" vertical="top" wrapText="1"/>
      <protection locked="0"/>
    </xf>
    <xf numFmtId="164" fontId="21" fillId="43" borderId="0" xfId="1" applyNumberFormat="1" applyFont="1" applyFill="1" applyAlignment="1" applyProtection="1">
      <alignment horizontal="right" vertical="top" wrapText="1"/>
      <protection locked="0"/>
    </xf>
    <xf numFmtId="164" fontId="19" fillId="43" borderId="0" xfId="1" applyNumberFormat="1" applyFont="1" applyFill="1" applyAlignment="1" applyProtection="1">
      <alignment vertical="center" wrapText="1"/>
      <protection locked="0"/>
    </xf>
    <xf numFmtId="164" fontId="21" fillId="43" borderId="0" xfId="2" applyNumberFormat="1" applyFont="1" applyFill="1"/>
    <xf numFmtId="43" fontId="20" fillId="0" borderId="0" xfId="2" applyNumberFormat="1" applyFont="1"/>
    <xf numFmtId="164" fontId="21" fillId="43" borderId="0" xfId="2" applyNumberFormat="1" applyFont="1" applyFill="1" applyAlignment="1">
      <alignment horizontal="center"/>
    </xf>
    <xf numFmtId="164" fontId="19" fillId="43" borderId="0" xfId="2" applyNumberFormat="1" applyFont="1" applyFill="1" applyAlignment="1">
      <alignment horizontal="center"/>
    </xf>
    <xf numFmtId="0" fontId="23" fillId="43" borderId="0" xfId="2" applyFont="1" applyFill="1" applyAlignment="1">
      <alignment horizontal="center"/>
    </xf>
    <xf numFmtId="164" fontId="19" fillId="43" borderId="0" xfId="2" applyNumberFormat="1" applyFont="1" applyFill="1"/>
    <xf numFmtId="164" fontId="19" fillId="43" borderId="0" xfId="2" applyNumberFormat="1" applyFont="1" applyFill="1" applyBorder="1"/>
    <xf numFmtId="0" fontId="20" fillId="43" borderId="0" xfId="2" applyFill="1" applyAlignment="1">
      <alignment horizontal="left"/>
    </xf>
    <xf numFmtId="0" fontId="19" fillId="43" borderId="0" xfId="2" applyFont="1" applyFill="1"/>
    <xf numFmtId="3" fontId="20" fillId="43" borderId="0" xfId="2" applyNumberFormat="1" applyFill="1"/>
    <xf numFmtId="164" fontId="20" fillId="43" borderId="0" xfId="2" applyNumberFormat="1" applyFill="1"/>
    <xf numFmtId="0" fontId="20" fillId="0" borderId="0" xfId="2" applyAlignment="1">
      <alignment horizontal="center"/>
    </xf>
    <xf numFmtId="0" fontId="37" fillId="0" borderId="0" xfId="2" applyFont="1" applyAlignment="1">
      <alignment horizontal="center"/>
    </xf>
    <xf numFmtId="4" fontId="38" fillId="0" borderId="0" xfId="2" applyNumberFormat="1" applyFont="1"/>
    <xf numFmtId="43" fontId="20" fillId="0" borderId="0" xfId="2" applyNumberFormat="1"/>
    <xf numFmtId="0" fontId="39" fillId="0" borderId="0" xfId="0" applyFont="1"/>
    <xf numFmtId="1" fontId="25" fillId="0" borderId="0" xfId="736" applyNumberFormat="1" applyFont="1" applyAlignment="1">
      <alignment horizontal="center"/>
    </xf>
    <xf numFmtId="3" fontId="0" fillId="0" borderId="0" xfId="0" applyNumberFormat="1"/>
    <xf numFmtId="0" fontId="0" fillId="44" borderId="0" xfId="0" applyFill="1"/>
    <xf numFmtId="0" fontId="0" fillId="38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4" borderId="0" xfId="0" applyFill="1" applyAlignment="1">
      <alignment horizontal="center"/>
    </xf>
    <xf numFmtId="164" fontId="23" fillId="0" borderId="0" xfId="2" quotePrefix="1" applyNumberFormat="1" applyFont="1" applyAlignment="1">
      <alignment horizontal="center"/>
    </xf>
    <xf numFmtId="164" fontId="21" fillId="0" borderId="0" xfId="2" applyNumberFormat="1" applyFont="1" applyAlignment="1">
      <alignment horizontal="center"/>
    </xf>
  </cellXfs>
  <cellStyles count="738">
    <cellStyle name="20% - Accent1 10" xfId="4"/>
    <cellStyle name="20% - Accent1 11" xfId="5"/>
    <cellStyle name="20% - Accent1 12" xfId="6"/>
    <cellStyle name="20% - Accent1 13" xfId="7"/>
    <cellStyle name="20% - Accent1 14" xfId="8"/>
    <cellStyle name="20% - Accent1 2" xfId="9"/>
    <cellStyle name="20% - Accent1 2 2" xfId="10"/>
    <cellStyle name="20% - Accent1 2 3" xfId="11"/>
    <cellStyle name="20% - Accent1 2 4" xfId="12"/>
    <cellStyle name="20% - Accent1 2 5" xfId="13"/>
    <cellStyle name="20% - Accent1 2 6" xfId="14"/>
    <cellStyle name="20% - Accent1 2 7" xfId="15"/>
    <cellStyle name="20% - Accent1 2 8" xfId="16"/>
    <cellStyle name="20% - Accent1 3" xfId="17"/>
    <cellStyle name="20% - Accent1 3 2" xfId="18"/>
    <cellStyle name="20% - Accent1 3 3" xfId="19"/>
    <cellStyle name="20% - Accent1 3 4" xfId="20"/>
    <cellStyle name="20% - Accent1 3 5" xfId="21"/>
    <cellStyle name="20% - Accent1 3 6" xfId="22"/>
    <cellStyle name="20% - Accent1 3 7" xfId="23"/>
    <cellStyle name="20% - Accent1 3 8" xfId="24"/>
    <cellStyle name="20% - Accent1 4" xfId="25"/>
    <cellStyle name="20% - Accent1 4 2" xfId="26"/>
    <cellStyle name="20% - Accent1 4 3" xfId="27"/>
    <cellStyle name="20% - Accent1 4 4" xfId="28"/>
    <cellStyle name="20% - Accent1 4 5" xfId="29"/>
    <cellStyle name="20% - Accent1 4 6" xfId="30"/>
    <cellStyle name="20% - Accent1 4 7" xfId="31"/>
    <cellStyle name="20% - Accent1 4 8" xfId="32"/>
    <cellStyle name="20% - Accent1 5" xfId="33"/>
    <cellStyle name="20% - Accent1 5 2" xfId="34"/>
    <cellStyle name="20% - Accent1 5 3" xfId="35"/>
    <cellStyle name="20% - Accent1 5 4" xfId="36"/>
    <cellStyle name="20% - Accent1 5 5" xfId="37"/>
    <cellStyle name="20% - Accent1 5 6" xfId="38"/>
    <cellStyle name="20% - Accent1 5 7" xfId="39"/>
    <cellStyle name="20% - Accent1 5 8" xfId="40"/>
    <cellStyle name="20% - Accent1 6" xfId="41"/>
    <cellStyle name="20% - Accent1 6 2" xfId="42"/>
    <cellStyle name="20% - Accent1 6 3" xfId="43"/>
    <cellStyle name="20% - Accent1 6 4" xfId="44"/>
    <cellStyle name="20% - Accent1 6 5" xfId="45"/>
    <cellStyle name="20% - Accent1 6 6" xfId="46"/>
    <cellStyle name="20% - Accent1 6 7" xfId="47"/>
    <cellStyle name="20% - Accent1 6 8" xfId="48"/>
    <cellStyle name="20% - Accent1 7" xfId="49"/>
    <cellStyle name="20% - Accent1 8" xfId="50"/>
    <cellStyle name="20% - Accent1 9" xfId="51"/>
    <cellStyle name="20% - Accent2 10" xfId="52"/>
    <cellStyle name="20% - Accent2 11" xfId="53"/>
    <cellStyle name="20% - Accent2 12" xfId="54"/>
    <cellStyle name="20% - Accent2 13" xfId="55"/>
    <cellStyle name="20% - Accent2 14" xfId="56"/>
    <cellStyle name="20% - Accent2 2" xfId="57"/>
    <cellStyle name="20% - Accent2 2 2" xfId="58"/>
    <cellStyle name="20% - Accent2 2 3" xfId="59"/>
    <cellStyle name="20% - Accent2 2 4" xfId="60"/>
    <cellStyle name="20% - Accent2 2 5" xfId="61"/>
    <cellStyle name="20% - Accent2 2 6" xfId="62"/>
    <cellStyle name="20% - Accent2 2 7" xfId="63"/>
    <cellStyle name="20% - Accent2 2 8" xfId="64"/>
    <cellStyle name="20% - Accent2 3" xfId="65"/>
    <cellStyle name="20% - Accent2 3 2" xfId="66"/>
    <cellStyle name="20% - Accent2 3 3" xfId="67"/>
    <cellStyle name="20% - Accent2 3 4" xfId="68"/>
    <cellStyle name="20% - Accent2 3 5" xfId="69"/>
    <cellStyle name="20% - Accent2 3 6" xfId="70"/>
    <cellStyle name="20% - Accent2 3 7" xfId="71"/>
    <cellStyle name="20% - Accent2 3 8" xfId="72"/>
    <cellStyle name="20% - Accent2 4" xfId="73"/>
    <cellStyle name="20% - Accent2 4 2" xfId="74"/>
    <cellStyle name="20% - Accent2 4 3" xfId="75"/>
    <cellStyle name="20% - Accent2 4 4" xfId="76"/>
    <cellStyle name="20% - Accent2 4 5" xfId="77"/>
    <cellStyle name="20% - Accent2 4 6" xfId="78"/>
    <cellStyle name="20% - Accent2 4 7" xfId="79"/>
    <cellStyle name="20% - Accent2 4 8" xfId="80"/>
    <cellStyle name="20% - Accent2 5" xfId="81"/>
    <cellStyle name="20% - Accent2 5 2" xfId="82"/>
    <cellStyle name="20% - Accent2 5 3" xfId="83"/>
    <cellStyle name="20% - Accent2 5 4" xfId="84"/>
    <cellStyle name="20% - Accent2 5 5" xfId="85"/>
    <cellStyle name="20% - Accent2 5 6" xfId="86"/>
    <cellStyle name="20% - Accent2 5 7" xfId="87"/>
    <cellStyle name="20% - Accent2 5 8" xfId="88"/>
    <cellStyle name="20% - Accent2 6" xfId="89"/>
    <cellStyle name="20% - Accent2 6 2" xfId="90"/>
    <cellStyle name="20% - Accent2 6 3" xfId="91"/>
    <cellStyle name="20% - Accent2 6 4" xfId="92"/>
    <cellStyle name="20% - Accent2 6 5" xfId="93"/>
    <cellStyle name="20% - Accent2 6 6" xfId="94"/>
    <cellStyle name="20% - Accent2 6 7" xfId="95"/>
    <cellStyle name="20% - Accent2 6 8" xfId="96"/>
    <cellStyle name="20% - Accent2 7" xfId="97"/>
    <cellStyle name="20% - Accent2 8" xfId="98"/>
    <cellStyle name="20% - Accent2 9" xfId="99"/>
    <cellStyle name="20% - Accent3 10" xfId="100"/>
    <cellStyle name="20% - Accent3 11" xfId="101"/>
    <cellStyle name="20% - Accent3 12" xfId="102"/>
    <cellStyle name="20% - Accent3 13" xfId="103"/>
    <cellStyle name="20% - Accent3 14" xfId="104"/>
    <cellStyle name="20% - Accent3 2" xfId="105"/>
    <cellStyle name="20% - Accent3 2 2" xfId="106"/>
    <cellStyle name="20% - Accent3 2 3" xfId="107"/>
    <cellStyle name="20% - Accent3 2 4" xfId="108"/>
    <cellStyle name="20% - Accent3 2 5" xfId="109"/>
    <cellStyle name="20% - Accent3 2 6" xfId="110"/>
    <cellStyle name="20% - Accent3 2 7" xfId="111"/>
    <cellStyle name="20% - Accent3 2 8" xfId="112"/>
    <cellStyle name="20% - Accent3 3" xfId="113"/>
    <cellStyle name="20% - Accent3 3 2" xfId="114"/>
    <cellStyle name="20% - Accent3 3 3" xfId="115"/>
    <cellStyle name="20% - Accent3 3 4" xfId="116"/>
    <cellStyle name="20% - Accent3 3 5" xfId="117"/>
    <cellStyle name="20% - Accent3 3 6" xfId="118"/>
    <cellStyle name="20% - Accent3 3 7" xfId="119"/>
    <cellStyle name="20% - Accent3 3 8" xfId="120"/>
    <cellStyle name="20% - Accent3 4" xfId="121"/>
    <cellStyle name="20% - Accent3 4 2" xfId="122"/>
    <cellStyle name="20% - Accent3 4 3" xfId="123"/>
    <cellStyle name="20% - Accent3 4 4" xfId="124"/>
    <cellStyle name="20% - Accent3 4 5" xfId="125"/>
    <cellStyle name="20% - Accent3 4 6" xfId="126"/>
    <cellStyle name="20% - Accent3 4 7" xfId="127"/>
    <cellStyle name="20% - Accent3 4 8" xfId="128"/>
    <cellStyle name="20% - Accent3 5" xfId="129"/>
    <cellStyle name="20% - Accent3 5 2" xfId="130"/>
    <cellStyle name="20% - Accent3 5 3" xfId="131"/>
    <cellStyle name="20% - Accent3 5 4" xfId="132"/>
    <cellStyle name="20% - Accent3 5 5" xfId="133"/>
    <cellStyle name="20% - Accent3 5 6" xfId="134"/>
    <cellStyle name="20% - Accent3 5 7" xfId="135"/>
    <cellStyle name="20% - Accent3 5 8" xfId="136"/>
    <cellStyle name="20% - Accent3 6" xfId="137"/>
    <cellStyle name="20% - Accent3 6 2" xfId="138"/>
    <cellStyle name="20% - Accent3 6 3" xfId="139"/>
    <cellStyle name="20% - Accent3 6 4" xfId="140"/>
    <cellStyle name="20% - Accent3 6 5" xfId="141"/>
    <cellStyle name="20% - Accent3 6 6" xfId="142"/>
    <cellStyle name="20% - Accent3 6 7" xfId="143"/>
    <cellStyle name="20% - Accent3 6 8" xfId="144"/>
    <cellStyle name="20% - Accent3 7" xfId="145"/>
    <cellStyle name="20% - Accent3 8" xfId="146"/>
    <cellStyle name="20% - Accent3 9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2" xfId="153"/>
    <cellStyle name="20% - Accent4 2 2" xfId="154"/>
    <cellStyle name="20% - Accent4 2 3" xfId="155"/>
    <cellStyle name="20% - Accent4 2 4" xfId="156"/>
    <cellStyle name="20% - Accent4 2 5" xfId="157"/>
    <cellStyle name="20% - Accent4 2 6" xfId="158"/>
    <cellStyle name="20% - Accent4 2 7" xfId="159"/>
    <cellStyle name="20% - Accent4 2 8" xfId="160"/>
    <cellStyle name="20% - Accent4 3" xfId="161"/>
    <cellStyle name="20% - Accent4 3 2" xfId="162"/>
    <cellStyle name="20% - Accent4 3 3" xfId="163"/>
    <cellStyle name="20% - Accent4 3 4" xfId="164"/>
    <cellStyle name="20% - Accent4 3 5" xfId="165"/>
    <cellStyle name="20% - Accent4 3 6" xfId="166"/>
    <cellStyle name="20% - Accent4 3 7" xfId="167"/>
    <cellStyle name="20% - Accent4 3 8" xfId="168"/>
    <cellStyle name="20% - Accent4 4" xfId="169"/>
    <cellStyle name="20% - Accent4 4 2" xfId="170"/>
    <cellStyle name="20% - Accent4 4 3" xfId="171"/>
    <cellStyle name="20% - Accent4 4 4" xfId="172"/>
    <cellStyle name="20% - Accent4 4 5" xfId="173"/>
    <cellStyle name="20% - Accent4 4 6" xfId="174"/>
    <cellStyle name="20% - Accent4 4 7" xfId="175"/>
    <cellStyle name="20% - Accent4 4 8" xfId="176"/>
    <cellStyle name="20% - Accent4 5" xfId="177"/>
    <cellStyle name="20% - Accent4 5 2" xfId="178"/>
    <cellStyle name="20% - Accent4 5 3" xfId="179"/>
    <cellStyle name="20% - Accent4 5 4" xfId="180"/>
    <cellStyle name="20% - Accent4 5 5" xfId="181"/>
    <cellStyle name="20% - Accent4 5 6" xfId="182"/>
    <cellStyle name="20% - Accent4 5 7" xfId="183"/>
    <cellStyle name="20% - Accent4 5 8" xfId="184"/>
    <cellStyle name="20% - Accent4 6" xfId="185"/>
    <cellStyle name="20% - Accent4 6 2" xfId="186"/>
    <cellStyle name="20% - Accent4 6 3" xfId="187"/>
    <cellStyle name="20% - Accent4 6 4" xfId="188"/>
    <cellStyle name="20% - Accent4 6 5" xfId="189"/>
    <cellStyle name="20% - Accent4 6 6" xfId="190"/>
    <cellStyle name="20% - Accent4 6 7" xfId="191"/>
    <cellStyle name="20% - Accent4 6 8" xfId="192"/>
    <cellStyle name="20% - Accent4 7" xfId="193"/>
    <cellStyle name="20% - Accent4 8" xfId="194"/>
    <cellStyle name="20% - Accent4 9" xfId="195"/>
    <cellStyle name="20% - Accent5 10" xfId="196"/>
    <cellStyle name="20% - Accent5 11" xfId="197"/>
    <cellStyle name="20% - Accent5 12" xfId="198"/>
    <cellStyle name="20% - Accent5 13" xfId="199"/>
    <cellStyle name="20% - Accent5 14" xfId="200"/>
    <cellStyle name="20% - Accent5 2" xfId="201"/>
    <cellStyle name="20% - Accent5 2 2" xfId="202"/>
    <cellStyle name="20% - Accent5 2 3" xfId="203"/>
    <cellStyle name="20% - Accent5 2 4" xfId="204"/>
    <cellStyle name="20% - Accent5 2 5" xfId="205"/>
    <cellStyle name="20% - Accent5 2 6" xfId="206"/>
    <cellStyle name="20% - Accent5 2 7" xfId="207"/>
    <cellStyle name="20% - Accent5 2 8" xfId="208"/>
    <cellStyle name="20% - Accent5 3" xfId="209"/>
    <cellStyle name="20% - Accent5 3 2" xfId="210"/>
    <cellStyle name="20% - Accent5 3 3" xfId="211"/>
    <cellStyle name="20% - Accent5 3 4" xfId="212"/>
    <cellStyle name="20% - Accent5 3 5" xfId="213"/>
    <cellStyle name="20% - Accent5 3 6" xfId="214"/>
    <cellStyle name="20% - Accent5 3 7" xfId="215"/>
    <cellStyle name="20% - Accent5 3 8" xfId="216"/>
    <cellStyle name="20% - Accent5 4" xfId="217"/>
    <cellStyle name="20% - Accent5 4 2" xfId="218"/>
    <cellStyle name="20% - Accent5 4 3" xfId="219"/>
    <cellStyle name="20% - Accent5 4 4" xfId="220"/>
    <cellStyle name="20% - Accent5 4 5" xfId="221"/>
    <cellStyle name="20% - Accent5 4 6" xfId="222"/>
    <cellStyle name="20% - Accent5 4 7" xfId="223"/>
    <cellStyle name="20% - Accent5 4 8" xfId="224"/>
    <cellStyle name="20% - Accent5 5" xfId="225"/>
    <cellStyle name="20% - Accent5 5 2" xfId="226"/>
    <cellStyle name="20% - Accent5 5 3" xfId="227"/>
    <cellStyle name="20% - Accent5 5 4" xfId="228"/>
    <cellStyle name="20% - Accent5 5 5" xfId="229"/>
    <cellStyle name="20% - Accent5 5 6" xfId="230"/>
    <cellStyle name="20% - Accent5 5 7" xfId="231"/>
    <cellStyle name="20% - Accent5 5 8" xfId="232"/>
    <cellStyle name="20% - Accent5 6" xfId="233"/>
    <cellStyle name="20% - Accent5 6 2" xfId="234"/>
    <cellStyle name="20% - Accent5 6 3" xfId="235"/>
    <cellStyle name="20% - Accent5 6 4" xfId="236"/>
    <cellStyle name="20% - Accent5 6 5" xfId="237"/>
    <cellStyle name="20% - Accent5 6 6" xfId="238"/>
    <cellStyle name="20% - Accent5 6 7" xfId="239"/>
    <cellStyle name="20% - Accent5 6 8" xfId="240"/>
    <cellStyle name="20% - Accent5 7" xfId="241"/>
    <cellStyle name="20% - Accent5 8" xfId="242"/>
    <cellStyle name="20% - Accent5 9" xfId="243"/>
    <cellStyle name="20% - Accent6 10" xfId="244"/>
    <cellStyle name="20% - Accent6 11" xfId="245"/>
    <cellStyle name="20% - Accent6 12" xfId="246"/>
    <cellStyle name="20% - Accent6 13" xfId="247"/>
    <cellStyle name="20% - Accent6 14" xfId="248"/>
    <cellStyle name="20% - Accent6 2" xfId="249"/>
    <cellStyle name="20% - Accent6 2 2" xfId="250"/>
    <cellStyle name="20% - Accent6 2 3" xfId="251"/>
    <cellStyle name="20% - Accent6 2 4" xfId="252"/>
    <cellStyle name="20% - Accent6 2 5" xfId="253"/>
    <cellStyle name="20% - Accent6 2 6" xfId="254"/>
    <cellStyle name="20% - Accent6 2 7" xfId="255"/>
    <cellStyle name="20% - Accent6 2 8" xfId="256"/>
    <cellStyle name="20% - Accent6 3" xfId="257"/>
    <cellStyle name="20% - Accent6 3 2" xfId="258"/>
    <cellStyle name="20% - Accent6 3 3" xfId="259"/>
    <cellStyle name="20% - Accent6 3 4" xfId="260"/>
    <cellStyle name="20% - Accent6 3 5" xfId="261"/>
    <cellStyle name="20% - Accent6 3 6" xfId="262"/>
    <cellStyle name="20% - Accent6 3 7" xfId="263"/>
    <cellStyle name="20% - Accent6 3 8" xfId="264"/>
    <cellStyle name="20% - Accent6 4" xfId="265"/>
    <cellStyle name="20% - Accent6 4 2" xfId="266"/>
    <cellStyle name="20% - Accent6 4 3" xfId="267"/>
    <cellStyle name="20% - Accent6 4 4" xfId="268"/>
    <cellStyle name="20% - Accent6 4 5" xfId="269"/>
    <cellStyle name="20% - Accent6 4 6" xfId="270"/>
    <cellStyle name="20% - Accent6 4 7" xfId="271"/>
    <cellStyle name="20% - Accent6 4 8" xfId="272"/>
    <cellStyle name="20% - Accent6 5" xfId="273"/>
    <cellStyle name="20% - Accent6 5 2" xfId="274"/>
    <cellStyle name="20% - Accent6 5 3" xfId="275"/>
    <cellStyle name="20% - Accent6 5 4" xfId="276"/>
    <cellStyle name="20% - Accent6 5 5" xfId="277"/>
    <cellStyle name="20% - Accent6 5 6" xfId="278"/>
    <cellStyle name="20% - Accent6 5 7" xfId="279"/>
    <cellStyle name="20% - Accent6 5 8" xfId="280"/>
    <cellStyle name="20% - Accent6 6" xfId="281"/>
    <cellStyle name="20% - Accent6 6 2" xfId="282"/>
    <cellStyle name="20% - Accent6 6 3" xfId="283"/>
    <cellStyle name="20% - Accent6 6 4" xfId="284"/>
    <cellStyle name="20% - Accent6 6 5" xfId="285"/>
    <cellStyle name="20% - Accent6 6 6" xfId="286"/>
    <cellStyle name="20% - Accent6 6 7" xfId="287"/>
    <cellStyle name="20% - Accent6 6 8" xfId="288"/>
    <cellStyle name="20% - Accent6 7" xfId="289"/>
    <cellStyle name="20% - Accent6 8" xfId="290"/>
    <cellStyle name="20% - Accent6 9" xfId="291"/>
    <cellStyle name="40% - Accent1 10" xfId="292"/>
    <cellStyle name="40% - Accent1 11" xfId="293"/>
    <cellStyle name="40% - Accent1 12" xfId="294"/>
    <cellStyle name="40% - Accent1 13" xfId="295"/>
    <cellStyle name="40% - Accent1 14" xfId="296"/>
    <cellStyle name="40% - Accent1 2" xfId="297"/>
    <cellStyle name="40% - Accent1 2 2" xfId="298"/>
    <cellStyle name="40% - Accent1 2 3" xfId="299"/>
    <cellStyle name="40% - Accent1 2 4" xfId="300"/>
    <cellStyle name="40% - Accent1 2 5" xfId="301"/>
    <cellStyle name="40% - Accent1 2 6" xfId="302"/>
    <cellStyle name="40% - Accent1 2 7" xfId="303"/>
    <cellStyle name="40% - Accent1 2 8" xfId="304"/>
    <cellStyle name="40% - Accent1 3" xfId="305"/>
    <cellStyle name="40% - Accent1 3 2" xfId="306"/>
    <cellStyle name="40% - Accent1 3 3" xfId="307"/>
    <cellStyle name="40% - Accent1 3 4" xfId="308"/>
    <cellStyle name="40% - Accent1 3 5" xfId="309"/>
    <cellStyle name="40% - Accent1 3 6" xfId="310"/>
    <cellStyle name="40% - Accent1 3 7" xfId="311"/>
    <cellStyle name="40% - Accent1 3 8" xfId="312"/>
    <cellStyle name="40% - Accent1 4" xfId="313"/>
    <cellStyle name="40% - Accent1 4 2" xfId="314"/>
    <cellStyle name="40% - Accent1 4 3" xfId="315"/>
    <cellStyle name="40% - Accent1 4 4" xfId="316"/>
    <cellStyle name="40% - Accent1 4 5" xfId="317"/>
    <cellStyle name="40% - Accent1 4 6" xfId="318"/>
    <cellStyle name="40% - Accent1 4 7" xfId="319"/>
    <cellStyle name="40% - Accent1 4 8" xfId="320"/>
    <cellStyle name="40% - Accent1 5" xfId="321"/>
    <cellStyle name="40% - Accent1 5 2" xfId="322"/>
    <cellStyle name="40% - Accent1 5 3" xfId="323"/>
    <cellStyle name="40% - Accent1 5 4" xfId="324"/>
    <cellStyle name="40% - Accent1 5 5" xfId="325"/>
    <cellStyle name="40% - Accent1 5 6" xfId="326"/>
    <cellStyle name="40% - Accent1 5 7" xfId="327"/>
    <cellStyle name="40% - Accent1 5 8" xfId="328"/>
    <cellStyle name="40% - Accent1 6" xfId="329"/>
    <cellStyle name="40% - Accent1 6 2" xfId="330"/>
    <cellStyle name="40% - Accent1 6 3" xfId="331"/>
    <cellStyle name="40% - Accent1 6 4" xfId="332"/>
    <cellStyle name="40% - Accent1 6 5" xfId="333"/>
    <cellStyle name="40% - Accent1 6 6" xfId="334"/>
    <cellStyle name="40% - Accent1 6 7" xfId="335"/>
    <cellStyle name="40% - Accent1 6 8" xfId="336"/>
    <cellStyle name="40% - Accent1 7" xfId="337"/>
    <cellStyle name="40% - Accent1 8" xfId="338"/>
    <cellStyle name="40% - Accent1 9" xfId="339"/>
    <cellStyle name="40% - Accent2 10" xfId="340"/>
    <cellStyle name="40% - Accent2 11" xfId="341"/>
    <cellStyle name="40% - Accent2 12" xfId="342"/>
    <cellStyle name="40% - Accent2 13" xfId="343"/>
    <cellStyle name="40% - Accent2 14" xfId="344"/>
    <cellStyle name="40% - Accent2 2" xfId="345"/>
    <cellStyle name="40% - Accent2 2 2" xfId="346"/>
    <cellStyle name="40% - Accent2 2 3" xfId="347"/>
    <cellStyle name="40% - Accent2 2 4" xfId="348"/>
    <cellStyle name="40% - Accent2 2 5" xfId="349"/>
    <cellStyle name="40% - Accent2 2 6" xfId="350"/>
    <cellStyle name="40% - Accent2 2 7" xfId="351"/>
    <cellStyle name="40% - Accent2 2 8" xfId="352"/>
    <cellStyle name="40% - Accent2 3" xfId="353"/>
    <cellStyle name="40% - Accent2 3 2" xfId="354"/>
    <cellStyle name="40% - Accent2 3 3" xfId="355"/>
    <cellStyle name="40% - Accent2 3 4" xfId="356"/>
    <cellStyle name="40% - Accent2 3 5" xfId="357"/>
    <cellStyle name="40% - Accent2 3 6" xfId="358"/>
    <cellStyle name="40% - Accent2 3 7" xfId="359"/>
    <cellStyle name="40% - Accent2 3 8" xfId="360"/>
    <cellStyle name="40% - Accent2 4" xfId="361"/>
    <cellStyle name="40% - Accent2 4 2" xfId="362"/>
    <cellStyle name="40% - Accent2 4 3" xfId="363"/>
    <cellStyle name="40% - Accent2 4 4" xfId="364"/>
    <cellStyle name="40% - Accent2 4 5" xfId="365"/>
    <cellStyle name="40% - Accent2 4 6" xfId="366"/>
    <cellStyle name="40% - Accent2 4 7" xfId="367"/>
    <cellStyle name="40% - Accent2 4 8" xfId="368"/>
    <cellStyle name="40% - Accent2 5" xfId="369"/>
    <cellStyle name="40% - Accent2 5 2" xfId="370"/>
    <cellStyle name="40% - Accent2 5 3" xfId="371"/>
    <cellStyle name="40% - Accent2 5 4" xfId="372"/>
    <cellStyle name="40% - Accent2 5 5" xfId="373"/>
    <cellStyle name="40% - Accent2 5 6" xfId="374"/>
    <cellStyle name="40% - Accent2 5 7" xfId="375"/>
    <cellStyle name="40% - Accent2 5 8" xfId="376"/>
    <cellStyle name="40% - Accent2 6" xfId="377"/>
    <cellStyle name="40% - Accent2 6 2" xfId="378"/>
    <cellStyle name="40% - Accent2 6 3" xfId="379"/>
    <cellStyle name="40% - Accent2 6 4" xfId="380"/>
    <cellStyle name="40% - Accent2 6 5" xfId="381"/>
    <cellStyle name="40% - Accent2 6 6" xfId="382"/>
    <cellStyle name="40% - Accent2 6 7" xfId="383"/>
    <cellStyle name="40% - Accent2 6 8" xfId="384"/>
    <cellStyle name="40% - Accent2 7" xfId="385"/>
    <cellStyle name="40% - Accent2 8" xfId="386"/>
    <cellStyle name="40% - Accent2 9" xfId="387"/>
    <cellStyle name="40% - Accent3 10" xfId="388"/>
    <cellStyle name="40% - Accent3 11" xfId="389"/>
    <cellStyle name="40% - Accent3 12" xfId="390"/>
    <cellStyle name="40% - Accent3 13" xfId="391"/>
    <cellStyle name="40% - Accent3 14" xfId="392"/>
    <cellStyle name="40% - Accent3 2" xfId="393"/>
    <cellStyle name="40% - Accent3 2 2" xfId="394"/>
    <cellStyle name="40% - Accent3 2 3" xfId="395"/>
    <cellStyle name="40% - Accent3 2 4" xfId="396"/>
    <cellStyle name="40% - Accent3 2 5" xfId="397"/>
    <cellStyle name="40% - Accent3 2 6" xfId="398"/>
    <cellStyle name="40% - Accent3 2 7" xfId="399"/>
    <cellStyle name="40% - Accent3 2 8" xfId="400"/>
    <cellStyle name="40% - Accent3 3" xfId="401"/>
    <cellStyle name="40% - Accent3 3 2" xfId="402"/>
    <cellStyle name="40% - Accent3 3 3" xfId="403"/>
    <cellStyle name="40% - Accent3 3 4" xfId="404"/>
    <cellStyle name="40% - Accent3 3 5" xfId="405"/>
    <cellStyle name="40% - Accent3 3 6" xfId="406"/>
    <cellStyle name="40% - Accent3 3 7" xfId="407"/>
    <cellStyle name="40% - Accent3 3 8" xfId="408"/>
    <cellStyle name="40% - Accent3 4" xfId="409"/>
    <cellStyle name="40% - Accent3 4 2" xfId="410"/>
    <cellStyle name="40% - Accent3 4 3" xfId="411"/>
    <cellStyle name="40% - Accent3 4 4" xfId="412"/>
    <cellStyle name="40% - Accent3 4 5" xfId="413"/>
    <cellStyle name="40% - Accent3 4 6" xfId="414"/>
    <cellStyle name="40% - Accent3 4 7" xfId="415"/>
    <cellStyle name="40% - Accent3 4 8" xfId="416"/>
    <cellStyle name="40% - Accent3 5" xfId="417"/>
    <cellStyle name="40% - Accent3 5 2" xfId="418"/>
    <cellStyle name="40% - Accent3 5 3" xfId="419"/>
    <cellStyle name="40% - Accent3 5 4" xfId="420"/>
    <cellStyle name="40% - Accent3 5 5" xfId="421"/>
    <cellStyle name="40% - Accent3 5 6" xfId="422"/>
    <cellStyle name="40% - Accent3 5 7" xfId="423"/>
    <cellStyle name="40% - Accent3 5 8" xfId="424"/>
    <cellStyle name="40% - Accent3 6" xfId="425"/>
    <cellStyle name="40% - Accent3 6 2" xfId="426"/>
    <cellStyle name="40% - Accent3 6 3" xfId="427"/>
    <cellStyle name="40% - Accent3 6 4" xfId="428"/>
    <cellStyle name="40% - Accent3 6 5" xfId="429"/>
    <cellStyle name="40% - Accent3 6 6" xfId="430"/>
    <cellStyle name="40% - Accent3 6 7" xfId="431"/>
    <cellStyle name="40% - Accent3 6 8" xfId="432"/>
    <cellStyle name="40% - Accent3 7" xfId="433"/>
    <cellStyle name="40% - Accent3 8" xfId="434"/>
    <cellStyle name="40% - Accent3 9" xfId="435"/>
    <cellStyle name="40% - Accent4 10" xfId="436"/>
    <cellStyle name="40% - Accent4 11" xfId="437"/>
    <cellStyle name="40% - Accent4 12" xfId="438"/>
    <cellStyle name="40% - Accent4 13" xfId="439"/>
    <cellStyle name="40% - Accent4 14" xfId="440"/>
    <cellStyle name="40% - Accent4 2" xfId="441"/>
    <cellStyle name="40% - Accent4 2 2" xfId="442"/>
    <cellStyle name="40% - Accent4 2 3" xfId="443"/>
    <cellStyle name="40% - Accent4 2 4" xfId="444"/>
    <cellStyle name="40% - Accent4 2 5" xfId="445"/>
    <cellStyle name="40% - Accent4 2 6" xfId="446"/>
    <cellStyle name="40% - Accent4 2 7" xfId="447"/>
    <cellStyle name="40% - Accent4 2 8" xfId="448"/>
    <cellStyle name="40% - Accent4 3" xfId="449"/>
    <cellStyle name="40% - Accent4 3 2" xfId="450"/>
    <cellStyle name="40% - Accent4 3 3" xfId="451"/>
    <cellStyle name="40% - Accent4 3 4" xfId="452"/>
    <cellStyle name="40% - Accent4 3 5" xfId="453"/>
    <cellStyle name="40% - Accent4 3 6" xfId="454"/>
    <cellStyle name="40% - Accent4 3 7" xfId="455"/>
    <cellStyle name="40% - Accent4 3 8" xfId="456"/>
    <cellStyle name="40% - Accent4 4" xfId="457"/>
    <cellStyle name="40% - Accent4 4 2" xfId="458"/>
    <cellStyle name="40% - Accent4 4 3" xfId="459"/>
    <cellStyle name="40% - Accent4 4 4" xfId="460"/>
    <cellStyle name="40% - Accent4 4 5" xfId="461"/>
    <cellStyle name="40% - Accent4 4 6" xfId="462"/>
    <cellStyle name="40% - Accent4 4 7" xfId="463"/>
    <cellStyle name="40% - Accent4 4 8" xfId="464"/>
    <cellStyle name="40% - Accent4 5" xfId="465"/>
    <cellStyle name="40% - Accent4 5 2" xfId="466"/>
    <cellStyle name="40% - Accent4 5 3" xfId="467"/>
    <cellStyle name="40% - Accent4 5 4" xfId="468"/>
    <cellStyle name="40% - Accent4 5 5" xfId="469"/>
    <cellStyle name="40% - Accent4 5 6" xfId="470"/>
    <cellStyle name="40% - Accent4 5 7" xfId="471"/>
    <cellStyle name="40% - Accent4 5 8" xfId="472"/>
    <cellStyle name="40% - Accent4 6" xfId="473"/>
    <cellStyle name="40% - Accent4 6 2" xfId="474"/>
    <cellStyle name="40% - Accent4 6 3" xfId="475"/>
    <cellStyle name="40% - Accent4 6 4" xfId="476"/>
    <cellStyle name="40% - Accent4 6 5" xfId="477"/>
    <cellStyle name="40% - Accent4 6 6" xfId="478"/>
    <cellStyle name="40% - Accent4 6 7" xfId="479"/>
    <cellStyle name="40% - Accent4 6 8" xfId="480"/>
    <cellStyle name="40% - Accent4 7" xfId="481"/>
    <cellStyle name="40% - Accent4 8" xfId="482"/>
    <cellStyle name="40% - Accent4 9" xfId="483"/>
    <cellStyle name="40% - Accent5 10" xfId="484"/>
    <cellStyle name="40% - Accent5 11" xfId="485"/>
    <cellStyle name="40% - Accent5 12" xfId="486"/>
    <cellStyle name="40% - Accent5 13" xfId="487"/>
    <cellStyle name="40% - Accent5 14" xfId="488"/>
    <cellStyle name="40% - Accent5 2" xfId="489"/>
    <cellStyle name="40% - Accent5 2 2" xfId="490"/>
    <cellStyle name="40% - Accent5 2 3" xfId="491"/>
    <cellStyle name="40% - Accent5 2 4" xfId="492"/>
    <cellStyle name="40% - Accent5 2 5" xfId="493"/>
    <cellStyle name="40% - Accent5 2 6" xfId="494"/>
    <cellStyle name="40% - Accent5 2 7" xfId="495"/>
    <cellStyle name="40% - Accent5 2 8" xfId="496"/>
    <cellStyle name="40% - Accent5 3" xfId="497"/>
    <cellStyle name="40% - Accent5 3 2" xfId="498"/>
    <cellStyle name="40% - Accent5 3 3" xfId="499"/>
    <cellStyle name="40% - Accent5 3 4" xfId="500"/>
    <cellStyle name="40% - Accent5 3 5" xfId="501"/>
    <cellStyle name="40% - Accent5 3 6" xfId="502"/>
    <cellStyle name="40% - Accent5 3 7" xfId="503"/>
    <cellStyle name="40% - Accent5 3 8" xfId="504"/>
    <cellStyle name="40% - Accent5 4" xfId="505"/>
    <cellStyle name="40% - Accent5 4 2" xfId="506"/>
    <cellStyle name="40% - Accent5 4 3" xfId="507"/>
    <cellStyle name="40% - Accent5 4 4" xfId="508"/>
    <cellStyle name="40% - Accent5 4 5" xfId="509"/>
    <cellStyle name="40% - Accent5 4 6" xfId="510"/>
    <cellStyle name="40% - Accent5 4 7" xfId="511"/>
    <cellStyle name="40% - Accent5 4 8" xfId="512"/>
    <cellStyle name="40% - Accent5 5" xfId="513"/>
    <cellStyle name="40% - Accent5 5 2" xfId="514"/>
    <cellStyle name="40% - Accent5 5 3" xfId="515"/>
    <cellStyle name="40% - Accent5 5 4" xfId="516"/>
    <cellStyle name="40% - Accent5 5 5" xfId="517"/>
    <cellStyle name="40% - Accent5 5 6" xfId="518"/>
    <cellStyle name="40% - Accent5 5 7" xfId="519"/>
    <cellStyle name="40% - Accent5 5 8" xfId="520"/>
    <cellStyle name="40% - Accent5 6" xfId="521"/>
    <cellStyle name="40% - Accent5 6 2" xfId="522"/>
    <cellStyle name="40% - Accent5 6 3" xfId="523"/>
    <cellStyle name="40% - Accent5 6 4" xfId="524"/>
    <cellStyle name="40% - Accent5 6 5" xfId="525"/>
    <cellStyle name="40% - Accent5 6 6" xfId="526"/>
    <cellStyle name="40% - Accent5 6 7" xfId="527"/>
    <cellStyle name="40% - Accent5 6 8" xfId="528"/>
    <cellStyle name="40% - Accent5 7" xfId="529"/>
    <cellStyle name="40% - Accent5 8" xfId="530"/>
    <cellStyle name="40% - Accent5 9" xfId="531"/>
    <cellStyle name="40% - Accent6 10" xfId="532"/>
    <cellStyle name="40% - Accent6 11" xfId="533"/>
    <cellStyle name="40% - Accent6 12" xfId="534"/>
    <cellStyle name="40% - Accent6 13" xfId="535"/>
    <cellStyle name="40% - Accent6 14" xfId="536"/>
    <cellStyle name="40% - Accent6 2" xfId="537"/>
    <cellStyle name="40% - Accent6 2 2" xfId="538"/>
    <cellStyle name="40% - Accent6 2 3" xfId="539"/>
    <cellStyle name="40% - Accent6 2 4" xfId="540"/>
    <cellStyle name="40% - Accent6 2 5" xfId="541"/>
    <cellStyle name="40% - Accent6 2 6" xfId="542"/>
    <cellStyle name="40% - Accent6 2 7" xfId="543"/>
    <cellStyle name="40% - Accent6 2 8" xfId="544"/>
    <cellStyle name="40% - Accent6 3" xfId="545"/>
    <cellStyle name="40% - Accent6 3 2" xfId="546"/>
    <cellStyle name="40% - Accent6 3 3" xfId="547"/>
    <cellStyle name="40% - Accent6 3 4" xfId="548"/>
    <cellStyle name="40% - Accent6 3 5" xfId="549"/>
    <cellStyle name="40% - Accent6 3 6" xfId="550"/>
    <cellStyle name="40% - Accent6 3 7" xfId="551"/>
    <cellStyle name="40% - Accent6 3 8" xfId="552"/>
    <cellStyle name="40% - Accent6 4" xfId="553"/>
    <cellStyle name="40% - Accent6 4 2" xfId="554"/>
    <cellStyle name="40% - Accent6 4 3" xfId="555"/>
    <cellStyle name="40% - Accent6 4 4" xfId="556"/>
    <cellStyle name="40% - Accent6 4 5" xfId="557"/>
    <cellStyle name="40% - Accent6 4 6" xfId="558"/>
    <cellStyle name="40% - Accent6 4 7" xfId="559"/>
    <cellStyle name="40% - Accent6 4 8" xfId="560"/>
    <cellStyle name="40% - Accent6 5" xfId="561"/>
    <cellStyle name="40% - Accent6 5 2" xfId="562"/>
    <cellStyle name="40% - Accent6 5 3" xfId="563"/>
    <cellStyle name="40% - Accent6 5 4" xfId="564"/>
    <cellStyle name="40% - Accent6 5 5" xfId="565"/>
    <cellStyle name="40% - Accent6 5 6" xfId="566"/>
    <cellStyle name="40% - Accent6 5 7" xfId="567"/>
    <cellStyle name="40% - Accent6 5 8" xfId="568"/>
    <cellStyle name="40% - Accent6 6" xfId="569"/>
    <cellStyle name="40% - Accent6 6 2" xfId="570"/>
    <cellStyle name="40% - Accent6 6 3" xfId="571"/>
    <cellStyle name="40% - Accent6 6 4" xfId="572"/>
    <cellStyle name="40% - Accent6 6 5" xfId="573"/>
    <cellStyle name="40% - Accent6 6 6" xfId="574"/>
    <cellStyle name="40% - Accent6 6 7" xfId="575"/>
    <cellStyle name="40% - Accent6 6 8" xfId="576"/>
    <cellStyle name="40% - Accent6 7" xfId="577"/>
    <cellStyle name="40% - Accent6 8" xfId="578"/>
    <cellStyle name="40% - Accent6 9" xfId="579"/>
    <cellStyle name="60% - Accent1 2" xfId="580"/>
    <cellStyle name="60% - Accent2 2" xfId="581"/>
    <cellStyle name="60% - Accent3 2" xfId="582"/>
    <cellStyle name="60% - Accent4 2" xfId="583"/>
    <cellStyle name="60% - Accent5 2" xfId="584"/>
    <cellStyle name="60% - Accent6 2" xfId="585"/>
    <cellStyle name="Accent1 2" xfId="586"/>
    <cellStyle name="Accent2 2" xfId="587"/>
    <cellStyle name="Accent3 2" xfId="588"/>
    <cellStyle name="Accent4 2" xfId="589"/>
    <cellStyle name="Accent5 2" xfId="590"/>
    <cellStyle name="Accent6 2" xfId="591"/>
    <cellStyle name="Bad 2" xfId="592"/>
    <cellStyle name="Calculation 2" xfId="593"/>
    <cellStyle name="Check Cell 2" xfId="594"/>
    <cellStyle name="Comma 10" xfId="595"/>
    <cellStyle name="Comma 10 2" xfId="596"/>
    <cellStyle name="Comma 11" xfId="597"/>
    <cellStyle name="Comma 11 2" xfId="598"/>
    <cellStyle name="Comma 12" xfId="599"/>
    <cellStyle name="Comma 13" xfId="735"/>
    <cellStyle name="Comma 2" xfId="600"/>
    <cellStyle name="Comma 2 2" xfId="601"/>
    <cellStyle name="Comma 2 3" xfId="602"/>
    <cellStyle name="Comma 2 4" xfId="603"/>
    <cellStyle name="Comma 2 5" xfId="604"/>
    <cellStyle name="Comma 2 6" xfId="605"/>
    <cellStyle name="Comma 3" xfId="606"/>
    <cellStyle name="Comma 3 2" xfId="607"/>
    <cellStyle name="Comma 3 3" xfId="608"/>
    <cellStyle name="Comma 3 4" xfId="609"/>
    <cellStyle name="Comma 3 5" xfId="610"/>
    <cellStyle name="Comma 4" xfId="611"/>
    <cellStyle name="Comma 4 2" xfId="612"/>
    <cellStyle name="Comma 5" xfId="613"/>
    <cellStyle name="Comma 5 2" xfId="614"/>
    <cellStyle name="Comma 6" xfId="615"/>
    <cellStyle name="Comma 6 2" xfId="616"/>
    <cellStyle name="Comma 7" xfId="617"/>
    <cellStyle name="Comma 7 2" xfId="618"/>
    <cellStyle name="Comma 8" xfId="619"/>
    <cellStyle name="Comma 8 2" xfId="620"/>
    <cellStyle name="Comma 9" xfId="621"/>
    <cellStyle name="Comma 9 2" xfId="622"/>
    <cellStyle name="Explanatory Text 2" xfId="623"/>
    <cellStyle name="Good 2" xfId="624"/>
    <cellStyle name="Heading 1 2" xfId="625"/>
    <cellStyle name="Heading 2 2" xfId="626"/>
    <cellStyle name="Heading 3 2" xfId="627"/>
    <cellStyle name="Heading 4 2" xfId="628"/>
    <cellStyle name="Input 2" xfId="629"/>
    <cellStyle name="Linked Cell 2" xfId="630"/>
    <cellStyle name="Neutral 2" xfId="631"/>
    <cellStyle name="Normal" xfId="0" builtinId="0"/>
    <cellStyle name="Normal 2" xfId="2"/>
    <cellStyle name="Normal 2 2" xfId="632"/>
    <cellStyle name="Normal 2 2 2" xfId="633"/>
    <cellStyle name="Normal 2 2 3" xfId="634"/>
    <cellStyle name="Normal 2 2 4" xfId="635"/>
    <cellStyle name="Normal 2 2 5" xfId="636"/>
    <cellStyle name="Normal 2 2 6" xfId="637"/>
    <cellStyle name="Normal 2 2 7" xfId="638"/>
    <cellStyle name="Normal 2 2 8" xfId="639"/>
    <cellStyle name="Normal 2 3" xfId="640"/>
    <cellStyle name="Normal 2 3 2" xfId="641"/>
    <cellStyle name="Normal 2 3 3" xfId="642"/>
    <cellStyle name="Normal 2 3 4" xfId="643"/>
    <cellStyle name="Normal 2 3 5" xfId="644"/>
    <cellStyle name="Normal 2 3 6" xfId="645"/>
    <cellStyle name="Normal 2 3 7" xfId="646"/>
    <cellStyle name="Normal 2 3 8" xfId="647"/>
    <cellStyle name="Normal 2 4" xfId="648"/>
    <cellStyle name="Normal 2 4 2" xfId="649"/>
    <cellStyle name="Normal 2 4 3" xfId="650"/>
    <cellStyle name="Normal 2 4 4" xfId="651"/>
    <cellStyle name="Normal 2 4 5" xfId="652"/>
    <cellStyle name="Normal 2 4 6" xfId="653"/>
    <cellStyle name="Normal 2 4 7" xfId="654"/>
    <cellStyle name="Normal 2 4 8" xfId="655"/>
    <cellStyle name="Normal 2 5" xfId="656"/>
    <cellStyle name="Normal 2 5 2" xfId="657"/>
    <cellStyle name="Normal 2 5 3" xfId="658"/>
    <cellStyle name="Normal 2 5 4" xfId="659"/>
    <cellStyle name="Normal 2 5 5" xfId="660"/>
    <cellStyle name="Normal 2 5 6" xfId="661"/>
    <cellStyle name="Normal 2 5 7" xfId="662"/>
    <cellStyle name="Normal 2 5 8" xfId="663"/>
    <cellStyle name="Normal 2 6" xfId="664"/>
    <cellStyle name="Normal 2 6 2" xfId="665"/>
    <cellStyle name="Normal 2 6 3" xfId="666"/>
    <cellStyle name="Normal 2 6 4" xfId="667"/>
    <cellStyle name="Normal 2 6 5" xfId="668"/>
    <cellStyle name="Normal 2 6 6" xfId="669"/>
    <cellStyle name="Normal 2 6 7" xfId="670"/>
    <cellStyle name="Normal 2 6 8" xfId="671"/>
    <cellStyle name="Normal 2 7" xfId="672"/>
    <cellStyle name="Normal 2 7 2" xfId="673"/>
    <cellStyle name="Normal 2 7 3" xfId="674"/>
    <cellStyle name="Normal 2 7 4" xfId="675"/>
    <cellStyle name="Normal 2 7 5" xfId="676"/>
    <cellStyle name="Normal 2 7 6" xfId="677"/>
    <cellStyle name="Normal 2 7 7" xfId="678"/>
    <cellStyle name="Normal 2 7 8" xfId="679"/>
    <cellStyle name="Normal 2 8" xfId="680"/>
    <cellStyle name="Normal 3" xfId="681"/>
    <cellStyle name="Normal 4" xfId="682"/>
    <cellStyle name="Normal 5" xfId="736"/>
    <cellStyle name="Normal 6" xfId="737"/>
    <cellStyle name="Normal_MGT P&amp;L JUN09" xfId="3"/>
    <cellStyle name="Normal_Sheet2" xfId="1"/>
    <cellStyle name="Note 2" xfId="683"/>
    <cellStyle name="Note 2 10" xfId="684"/>
    <cellStyle name="Note 2 11" xfId="685"/>
    <cellStyle name="Note 2 12" xfId="686"/>
    <cellStyle name="Note 2 13" xfId="687"/>
    <cellStyle name="Note 2 2" xfId="688"/>
    <cellStyle name="Note 2 2 2" xfId="689"/>
    <cellStyle name="Note 2 2 3" xfId="690"/>
    <cellStyle name="Note 2 2 4" xfId="691"/>
    <cellStyle name="Note 2 2 5" xfId="692"/>
    <cellStyle name="Note 2 2 6" xfId="693"/>
    <cellStyle name="Note 2 2 7" xfId="694"/>
    <cellStyle name="Note 2 2 8" xfId="695"/>
    <cellStyle name="Note 2 3" xfId="696"/>
    <cellStyle name="Note 2 3 2" xfId="697"/>
    <cellStyle name="Note 2 3 3" xfId="698"/>
    <cellStyle name="Note 2 3 4" xfId="699"/>
    <cellStyle name="Note 2 3 5" xfId="700"/>
    <cellStyle name="Note 2 3 6" xfId="701"/>
    <cellStyle name="Note 2 3 7" xfId="702"/>
    <cellStyle name="Note 2 3 8" xfId="703"/>
    <cellStyle name="Note 2 4" xfId="704"/>
    <cellStyle name="Note 2 4 2" xfId="705"/>
    <cellStyle name="Note 2 4 3" xfId="706"/>
    <cellStyle name="Note 2 4 4" xfId="707"/>
    <cellStyle name="Note 2 4 5" xfId="708"/>
    <cellStyle name="Note 2 4 6" xfId="709"/>
    <cellStyle name="Note 2 4 7" xfId="710"/>
    <cellStyle name="Note 2 4 8" xfId="711"/>
    <cellStyle name="Note 2 5" xfId="712"/>
    <cellStyle name="Note 2 5 2" xfId="713"/>
    <cellStyle name="Note 2 5 3" xfId="714"/>
    <cellStyle name="Note 2 5 4" xfId="715"/>
    <cellStyle name="Note 2 5 5" xfId="716"/>
    <cellStyle name="Note 2 5 6" xfId="717"/>
    <cellStyle name="Note 2 5 7" xfId="718"/>
    <cellStyle name="Note 2 5 8" xfId="719"/>
    <cellStyle name="Note 2 6" xfId="720"/>
    <cellStyle name="Note 2 6 2" xfId="721"/>
    <cellStyle name="Note 2 6 3" xfId="722"/>
    <cellStyle name="Note 2 6 4" xfId="723"/>
    <cellStyle name="Note 2 6 5" xfId="724"/>
    <cellStyle name="Note 2 6 6" xfId="725"/>
    <cellStyle name="Note 2 6 7" xfId="726"/>
    <cellStyle name="Note 2 6 8" xfId="727"/>
    <cellStyle name="Note 2 7" xfId="728"/>
    <cellStyle name="Note 2 8" xfId="729"/>
    <cellStyle name="Note 2 9" xfId="730"/>
    <cellStyle name="Output 2" xfId="731"/>
    <cellStyle name="Title 2" xfId="732"/>
    <cellStyle name="Total 2" xfId="733"/>
    <cellStyle name="Warning Text 2" xfId="734"/>
  </cellStyles>
  <dxfs count="199"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2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</xdr:row>
          <xdr:rowOff>152400</xdr:rowOff>
        </xdr:from>
        <xdr:to>
          <xdr:col>17</xdr:col>
          <xdr:colOff>57150</xdr:colOff>
          <xdr:row>3</xdr:row>
          <xdr:rowOff>180975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5</xdr:row>
          <xdr:rowOff>28575</xdr:rowOff>
        </xdr:from>
        <xdr:to>
          <xdr:col>17</xdr:col>
          <xdr:colOff>57150</xdr:colOff>
          <xdr:row>7</xdr:row>
          <xdr:rowOff>133350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8</xdr:row>
          <xdr:rowOff>161925</xdr:rowOff>
        </xdr:from>
        <xdr:to>
          <xdr:col>17</xdr:col>
          <xdr:colOff>57150</xdr:colOff>
          <xdr:row>11</xdr:row>
          <xdr:rowOff>76200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</xdr:row>
          <xdr:rowOff>114300</xdr:rowOff>
        </xdr:from>
        <xdr:to>
          <xdr:col>17</xdr:col>
          <xdr:colOff>57150</xdr:colOff>
          <xdr:row>15</xdr:row>
          <xdr:rowOff>28575</xdr:rowOff>
        </xdr:to>
        <xdr:sp macro="" textlink="">
          <xdr:nvSpPr>
            <xdr:cNvPr id="11269" name="CommandButton4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ccounts/MGT-ACCTS/JULY11-PnL-and-B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GE P&amp;L JUN09"/>
      <sheetName val="MGT P&amp;L FEB09"/>
      <sheetName val="MGT P&amp;L MAR09"/>
      <sheetName val="MGT P&amp;L APR09"/>
      <sheetName val="MGT P&amp;L MAY09"/>
      <sheetName val="MGT P&amp;L JUN09"/>
      <sheetName val="MGT P&amp;L JUL09"/>
      <sheetName val="MGT P&amp;L AUG09"/>
      <sheetName val="MGT BS FEB09"/>
      <sheetName val="MGT BS MAR09"/>
      <sheetName val="MGT BS APR09"/>
      <sheetName val="MGT BS MAY09"/>
      <sheetName val="MGT BS JUN09"/>
      <sheetName val="MGT BS JUL09"/>
      <sheetName val="MGT BS AUG09"/>
      <sheetName val="MGT BS JUL09 (2)"/>
      <sheetName val="MGT BS AUG09 (2)"/>
      <sheetName val="MGT PnL SEP09"/>
      <sheetName val="MGT BS SEP09"/>
      <sheetName val="MGT PnL OCT09"/>
      <sheetName val="MGT BS OCT09"/>
      <sheetName val="MGT PnL NOV09"/>
      <sheetName val="MGT BS NOV09"/>
      <sheetName val="MGT PnL DEC09"/>
      <sheetName val="MGT BS DEC09"/>
      <sheetName val="MGT PnL JAN10"/>
      <sheetName val="MGT BS JAN10"/>
      <sheetName val="ADMIN SDRY"/>
      <sheetName val="MGT PnL MAY10"/>
      <sheetName val="MGT BS MAY10"/>
      <sheetName val="MGT PnL JUN10"/>
      <sheetName val="MGT BS JUN10"/>
      <sheetName val="MGT PnL JUL10"/>
      <sheetName val="MGT BS JUL10"/>
      <sheetName val="MGT PnL AUG10"/>
      <sheetName val="MGT BS AUG10"/>
      <sheetName val="MGT PnL SEP10"/>
      <sheetName val="MGT BS SEP10"/>
      <sheetName val="MGT PnL OCT10"/>
      <sheetName val="MGT BS OCT10"/>
      <sheetName val="MGT PnL NOV10"/>
      <sheetName val="MGT BS NOV10"/>
      <sheetName val="MGT PnL DEC10"/>
      <sheetName val="MGT BS DEC10"/>
      <sheetName val="MGT PnL JAN11"/>
      <sheetName val="MGT BS JAN11"/>
      <sheetName val="MGT PnL FEB11"/>
      <sheetName val="MGT BS FEB11"/>
      <sheetName val="MGT PnL MAR11"/>
      <sheetName val="MGT BS MAR11"/>
      <sheetName val="MGT PnL APR11"/>
      <sheetName val="MGT BS APR11"/>
      <sheetName val="MGT PnL MAY11"/>
      <sheetName val="MGT BS MAY11"/>
      <sheetName val="MGT PnL JUN11"/>
      <sheetName val="MGT BS JUN11"/>
      <sheetName val="WKGS-MGT PnL JUL11"/>
      <sheetName val="WKGS-MGT BS JUL11"/>
      <sheetName val="WKGS-2 MGT PnL JUL11"/>
      <sheetName val="MGT PnL JUL11"/>
      <sheetName val="MGT BS JUL11"/>
      <sheetName val="MGT PnL AUG11"/>
      <sheetName val="MGT BS AUG11"/>
      <sheetName val="MGT PnL SEP11-WKGS"/>
      <sheetName val="MGT PnL SEP11"/>
      <sheetName val="MGT BS SEP11"/>
      <sheetName val="WKGS-MGT PnL OCT11"/>
      <sheetName val="WKGS-MGT BS OCT11"/>
      <sheetName val="MGT PnL OCT11"/>
      <sheetName val="MGT BS OCT11"/>
      <sheetName val="MGT PnL NOV11"/>
      <sheetName val="MGT BS NOV11"/>
      <sheetName val="MGT PnL WKGS-DEC11"/>
      <sheetName val="MGT BS WKGS-DEC11"/>
      <sheetName val="MGT PnL DEC11"/>
      <sheetName val="MGT BS DEC11"/>
      <sheetName val="MGT PnL JAN12 WKGS"/>
      <sheetName val="MGT BS JAN12 WKGS"/>
      <sheetName val="MGT PnL JAN12"/>
      <sheetName val="MGT BS JAN12"/>
      <sheetName val="MGT PnL FEB12"/>
      <sheetName val="MGT BS FEB12"/>
      <sheetName val="MGT PnL MAR12 "/>
      <sheetName val="MGT BS MAR12"/>
      <sheetName val="MGT PnL APR12"/>
      <sheetName val="MGT BS APR12"/>
      <sheetName val="MGT PnL MAY12"/>
      <sheetName val="MGT BS MAY12"/>
      <sheetName val="MGT PnL JUN12"/>
      <sheetName val="MGT BS JUN12-WKGS"/>
      <sheetName val="MGT BS JUN12 FINAL"/>
      <sheetName val="MGT PnL JUL12"/>
      <sheetName val="MGT BS JUL12-WKGS"/>
      <sheetName val="MGT PnL AUG12"/>
      <sheetName val="MGT BS AUG12-WKGS"/>
      <sheetName val="MGT PnL SEP12"/>
      <sheetName val="MGT BS SEP12-WKGS"/>
      <sheetName val="MGT PnL OCT12"/>
      <sheetName val="MGT BS OCT12-WKGS"/>
      <sheetName val="MGT PnL NOV12"/>
      <sheetName val="MGT BS NOV12-WKGS"/>
      <sheetName val="MGT PnL DEC12"/>
      <sheetName val="MGT BS DEC12-WKGS"/>
      <sheetName val="MGT PnL JAN13"/>
      <sheetName val="MGT BS JAN13-WKGS"/>
      <sheetName val="MGT PnL FEB13"/>
      <sheetName val="MGT BS FEB13"/>
      <sheetName val="MGT PnL MAR13"/>
      <sheetName val="MGT BS MAR13"/>
      <sheetName val="MGT PnL APR13"/>
      <sheetName val="MGT BS APR13"/>
      <sheetName val="MGT PnL MAY13"/>
      <sheetName val="MGT BS MAY13"/>
      <sheetName val="MGT PnL JUN13"/>
      <sheetName val="MGT BS JUN13"/>
      <sheetName val="MGT PnL JUL13"/>
      <sheetName val="MGT BS JUL13"/>
      <sheetName val="MGT PnL AUG13"/>
      <sheetName val="MGT BS AUG13"/>
      <sheetName val="MGT PnL SEP13"/>
      <sheetName val="MGT BS SEP13"/>
      <sheetName val="MGT PnL OCT13"/>
      <sheetName val="MGT BS OCT13"/>
      <sheetName val="MGT PnL NOV13"/>
      <sheetName val="MGT BS NOV13"/>
      <sheetName val="MGT PnL DEC13"/>
      <sheetName val="MGT BS DEC13"/>
      <sheetName val="MGT PnL JAN14"/>
      <sheetName val="MGT BS JAN14"/>
      <sheetName val="MGT PnL FEB14"/>
      <sheetName val="MGT BS FEB14"/>
      <sheetName val="MGT PnL MAR14"/>
      <sheetName val="MGT BS MAR14"/>
      <sheetName val="MGT PnL APR14"/>
      <sheetName val="MGT BS APR14"/>
      <sheetName val="MGT PnL MAY14"/>
      <sheetName val="MGT BS MAY14"/>
      <sheetName val="MGT PnL JUN14"/>
      <sheetName val="MGT BS JUN14"/>
      <sheetName val="MGT PnL JUL14"/>
      <sheetName val="MGT BS JUL14"/>
      <sheetName val="MGT PnL AUG14"/>
      <sheetName val="MGT BS AUG14"/>
      <sheetName val="MGT PnL SEP14"/>
      <sheetName val="MGT BS SEP14"/>
      <sheetName val="Sheet3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54"/>
  <sheetViews>
    <sheetView topLeftCell="B1" workbookViewId="0">
      <selection activeCell="C3" sqref="C3:C7"/>
    </sheetView>
  </sheetViews>
  <sheetFormatPr defaultRowHeight="15" x14ac:dyDescent="0.25"/>
  <cols>
    <col min="1" max="1" width="15.140625" customWidth="1"/>
    <col min="2" max="2" width="19.85546875" customWidth="1"/>
  </cols>
  <sheetData>
    <row r="1" spans="1:24" s="73" customFormat="1" ht="21" x14ac:dyDescent="0.35">
      <c r="A1" s="78" t="s">
        <v>166</v>
      </c>
      <c r="I1" s="40" t="s">
        <v>182</v>
      </c>
    </row>
    <row r="2" spans="1:24" s="73" customFormat="1" ht="21" x14ac:dyDescent="0.35">
      <c r="A2" s="78" t="s">
        <v>167</v>
      </c>
      <c r="I2" s="73" t="s">
        <v>177</v>
      </c>
      <c r="K2" s="73" t="s">
        <v>181</v>
      </c>
      <c r="S2" s="73" t="s">
        <v>417</v>
      </c>
      <c r="T2" s="73" t="s">
        <v>418</v>
      </c>
      <c r="U2" s="73" t="s">
        <v>208</v>
      </c>
    </row>
    <row r="3" spans="1:24" x14ac:dyDescent="0.25">
      <c r="A3" s="6"/>
      <c r="B3" s="41" t="s">
        <v>375</v>
      </c>
      <c r="C3" s="111" t="s">
        <v>178</v>
      </c>
      <c r="D3" t="s">
        <v>187</v>
      </c>
      <c r="I3" t="s">
        <v>178</v>
      </c>
      <c r="J3" s="73" t="s">
        <v>180</v>
      </c>
      <c r="K3">
        <v>-1</v>
      </c>
      <c r="S3" s="111" t="s">
        <v>178</v>
      </c>
      <c r="T3" s="111" t="s">
        <v>148</v>
      </c>
      <c r="U3" s="111" t="s">
        <v>178</v>
      </c>
      <c r="V3" s="111" t="s">
        <v>180</v>
      </c>
      <c r="W3" s="111" t="s">
        <v>150</v>
      </c>
      <c r="X3" s="111" t="s">
        <v>152</v>
      </c>
    </row>
    <row r="4" spans="1:24" x14ac:dyDescent="0.25">
      <c r="A4" s="6"/>
      <c r="B4" s="41" t="s">
        <v>376</v>
      </c>
      <c r="C4" s="112">
        <v>16</v>
      </c>
      <c r="D4" s="30" t="s">
        <v>188</v>
      </c>
      <c r="E4" s="75"/>
      <c r="I4" t="s">
        <v>152</v>
      </c>
      <c r="J4" s="73" t="s">
        <v>178</v>
      </c>
      <c r="K4">
        <v>0</v>
      </c>
      <c r="S4" s="112">
        <v>15</v>
      </c>
      <c r="T4" s="112">
        <v>15</v>
      </c>
      <c r="U4" s="112">
        <v>16</v>
      </c>
      <c r="V4" s="112">
        <v>15</v>
      </c>
      <c r="W4" s="112">
        <v>15</v>
      </c>
      <c r="X4" s="112">
        <v>16</v>
      </c>
    </row>
    <row r="5" spans="1:24" s="73" customFormat="1" x14ac:dyDescent="0.25">
      <c r="A5" s="6"/>
      <c r="B5" s="41" t="s">
        <v>377</v>
      </c>
      <c r="C5" s="111" t="s">
        <v>178</v>
      </c>
      <c r="D5" s="30" t="s">
        <v>191</v>
      </c>
      <c r="E5" s="75"/>
      <c r="I5" s="73" t="s">
        <v>151</v>
      </c>
      <c r="J5" s="73" t="s">
        <v>152</v>
      </c>
      <c r="K5" s="73">
        <v>0</v>
      </c>
      <c r="S5" s="111" t="s">
        <v>178</v>
      </c>
      <c r="T5" s="111" t="s">
        <v>147</v>
      </c>
      <c r="U5" s="111" t="s">
        <v>178</v>
      </c>
      <c r="V5" s="111" t="s">
        <v>178</v>
      </c>
      <c r="W5" s="111" t="s">
        <v>178</v>
      </c>
      <c r="X5" s="111" t="s">
        <v>178</v>
      </c>
    </row>
    <row r="6" spans="1:24" x14ac:dyDescent="0.25">
      <c r="A6" s="6"/>
      <c r="B6" s="41" t="s">
        <v>378</v>
      </c>
      <c r="C6" s="112">
        <v>15</v>
      </c>
      <c r="D6" s="30" t="s">
        <v>192</v>
      </c>
      <c r="E6" s="75"/>
      <c r="F6" s="73"/>
      <c r="G6" s="73"/>
      <c r="I6" t="s">
        <v>150</v>
      </c>
      <c r="J6" s="73" t="s">
        <v>151</v>
      </c>
      <c r="K6">
        <v>0</v>
      </c>
      <c r="S6" s="112">
        <v>14</v>
      </c>
      <c r="T6" s="112">
        <v>14</v>
      </c>
      <c r="U6" s="112">
        <v>15</v>
      </c>
      <c r="V6" s="112">
        <v>15</v>
      </c>
      <c r="W6" s="112">
        <v>15</v>
      </c>
      <c r="X6" s="112">
        <v>16</v>
      </c>
    </row>
    <row r="7" spans="1:24" x14ac:dyDescent="0.25">
      <c r="B7" s="110" t="s">
        <v>379</v>
      </c>
      <c r="C7" s="112" t="s">
        <v>367</v>
      </c>
      <c r="D7" s="113" t="s">
        <v>433</v>
      </c>
      <c r="I7" t="s">
        <v>149</v>
      </c>
      <c r="J7" s="73" t="s">
        <v>150</v>
      </c>
      <c r="K7">
        <v>0</v>
      </c>
      <c r="S7" s="112" t="s">
        <v>367</v>
      </c>
      <c r="T7" s="112" t="s">
        <v>1</v>
      </c>
      <c r="U7" s="112" t="s">
        <v>367</v>
      </c>
      <c r="V7" s="112" t="s">
        <v>367</v>
      </c>
      <c r="W7" s="112" t="s">
        <v>367</v>
      </c>
      <c r="X7" s="112" t="s">
        <v>367</v>
      </c>
    </row>
    <row r="8" spans="1:24" x14ac:dyDescent="0.25">
      <c r="A8" s="6"/>
      <c r="B8" s="6"/>
      <c r="C8" s="6"/>
      <c r="D8" s="41"/>
      <c r="E8" s="41"/>
      <c r="I8" t="s">
        <v>148</v>
      </c>
      <c r="J8" s="73" t="s">
        <v>149</v>
      </c>
      <c r="K8">
        <v>0</v>
      </c>
    </row>
    <row r="9" spans="1:24" x14ac:dyDescent="0.25">
      <c r="A9" s="6" t="s">
        <v>200</v>
      </c>
      <c r="B9" s="6"/>
      <c r="C9" s="6"/>
      <c r="D9" s="41"/>
      <c r="E9" s="41"/>
      <c r="F9" s="73"/>
      <c r="I9" t="s">
        <v>146</v>
      </c>
      <c r="J9" s="73" t="s">
        <v>148</v>
      </c>
      <c r="K9">
        <v>0</v>
      </c>
    </row>
    <row r="10" spans="1:24" x14ac:dyDescent="0.25">
      <c r="A10" s="73"/>
      <c r="B10" s="73" t="str">
        <f>"TTB-YTD-"&amp;UPPER(RepMonth)&amp;"-"&amp;RepYear</f>
        <v>TTB-YTD-JAN-16</v>
      </c>
      <c r="C10" s="6"/>
      <c r="D10" s="41"/>
      <c r="E10" s="41"/>
      <c r="F10" s="73"/>
      <c r="I10" t="s">
        <v>145</v>
      </c>
      <c r="J10" s="73" t="s">
        <v>146</v>
      </c>
      <c r="K10">
        <v>0</v>
      </c>
    </row>
    <row r="11" spans="1:24" x14ac:dyDescent="0.25">
      <c r="A11" t="s">
        <v>193</v>
      </c>
      <c r="B11" s="73">
        <f>MATCH(B10,INDEX(SageTrialBalance,1,),0)</f>
        <v>41</v>
      </c>
      <c r="C11" s="6" t="s">
        <v>197</v>
      </c>
      <c r="D11" s="41"/>
      <c r="E11" s="41"/>
      <c r="F11" s="73"/>
      <c r="I11" t="s">
        <v>147</v>
      </c>
      <c r="J11" s="73" t="s">
        <v>145</v>
      </c>
      <c r="K11">
        <v>0</v>
      </c>
    </row>
    <row r="12" spans="1:24" s="73" customFormat="1" x14ac:dyDescent="0.25">
      <c r="B12" s="73" t="str">
        <f>"TTB-MTD-"&amp;UPPER(RepMonth)&amp;"-"&amp;RepYear</f>
        <v>TTB-MTD-JAN-16</v>
      </c>
      <c r="C12" s="6"/>
      <c r="D12" s="41"/>
      <c r="E12" s="41"/>
      <c r="I12" t="s">
        <v>179</v>
      </c>
      <c r="J12" s="73" t="s">
        <v>147</v>
      </c>
      <c r="K12">
        <v>0</v>
      </c>
    </row>
    <row r="13" spans="1:24" x14ac:dyDescent="0.25">
      <c r="A13" s="73" t="s">
        <v>199</v>
      </c>
      <c r="B13" s="73">
        <f>MATCH(B12,INDEX(SageTrialBalance,1,),0)</f>
        <v>53</v>
      </c>
      <c r="C13" s="6" t="s">
        <v>198</v>
      </c>
      <c r="D13" s="41"/>
      <c r="E13" s="41"/>
      <c r="F13" s="73"/>
      <c r="G13" s="73"/>
      <c r="I13" s="73" t="s">
        <v>157</v>
      </c>
      <c r="J13" s="73" t="s">
        <v>179</v>
      </c>
      <c r="K13" s="73">
        <v>0</v>
      </c>
    </row>
    <row r="14" spans="1:24" s="73" customFormat="1" x14ac:dyDescent="0.25">
      <c r="C14" s="6"/>
      <c r="D14" s="41"/>
      <c r="E14" s="41"/>
      <c r="I14" t="s">
        <v>180</v>
      </c>
      <c r="J14" s="73" t="s">
        <v>157</v>
      </c>
      <c r="K14">
        <v>0</v>
      </c>
    </row>
    <row r="15" spans="1:24" x14ac:dyDescent="0.25">
      <c r="A15" s="73" t="s">
        <v>205</v>
      </c>
      <c r="B15" s="73"/>
      <c r="C15" s="6"/>
      <c r="D15" s="41"/>
      <c r="E15" s="41"/>
      <c r="F15" s="73"/>
      <c r="G15" s="73"/>
    </row>
    <row r="16" spans="1:24" s="73" customFormat="1" x14ac:dyDescent="0.25">
      <c r="B16" s="73" t="str">
        <f>"PLTD-YTD-"&amp;UPPER(RepMonth)&amp;"-"&amp;PrevYear</f>
        <v>PLTD-YTD-JAN-15</v>
      </c>
      <c r="C16" s="6"/>
      <c r="D16" s="41"/>
      <c r="E16" s="41"/>
    </row>
    <row r="17" spans="1:5" s="73" customFormat="1" x14ac:dyDescent="0.25">
      <c r="A17" s="73" t="s">
        <v>201</v>
      </c>
      <c r="B17" s="73">
        <f>MATCH(B16,INDEX(MTD,1,),0)</f>
        <v>37</v>
      </c>
      <c r="C17" s="6" t="s">
        <v>202</v>
      </c>
      <c r="D17" s="41"/>
      <c r="E17" s="41"/>
    </row>
    <row r="18" spans="1:5" s="73" customFormat="1" x14ac:dyDescent="0.25">
      <c r="B18" s="73" t="str">
        <f>"PLTD-MTD-"&amp;UPPER(RepMonth)&amp;"-"&amp;PrevYear</f>
        <v>PLTD-MTD-JAN-15</v>
      </c>
      <c r="C18" s="6"/>
      <c r="D18" s="41"/>
      <c r="E18" s="41"/>
    </row>
    <row r="19" spans="1:5" s="73" customFormat="1" x14ac:dyDescent="0.25">
      <c r="A19" s="73" t="s">
        <v>203</v>
      </c>
      <c r="B19" s="73">
        <f>MATCH(B18,INDEX(MTD,1,),0)</f>
        <v>36</v>
      </c>
      <c r="C19" s="6" t="s">
        <v>204</v>
      </c>
      <c r="D19" s="41"/>
      <c r="E19" s="41"/>
    </row>
    <row r="20" spans="1:5" s="73" customFormat="1" x14ac:dyDescent="0.25">
      <c r="B20" s="73" t="str">
        <f>"PLTD-YTD-"&amp;UPPER(B36)&amp;"-"&amp;B37</f>
        <v>PLTD-YTD-DEC-15</v>
      </c>
      <c r="C20" s="6"/>
      <c r="D20" s="41"/>
      <c r="E20" s="41"/>
    </row>
    <row r="21" spans="1:5" s="73" customFormat="1" x14ac:dyDescent="0.25">
      <c r="A21" s="73" t="s">
        <v>206</v>
      </c>
      <c r="B21" s="73">
        <f>MATCH(B20,INDEX(MTD,1,),0)</f>
        <v>45</v>
      </c>
      <c r="C21" s="6" t="s">
        <v>204</v>
      </c>
      <c r="D21" s="41"/>
      <c r="E21" s="41"/>
    </row>
    <row r="22" spans="1:5" s="76" customFormat="1" x14ac:dyDescent="0.25">
      <c r="B22" s="76" t="str">
        <f>"PLTD-YTD-"&amp;UPPER(RepMonth)&amp;"-"&amp;RepYear</f>
        <v>PLTD-YTD-JAN-16</v>
      </c>
      <c r="C22" s="6"/>
      <c r="D22" s="41"/>
      <c r="E22" s="41"/>
    </row>
    <row r="23" spans="1:5" s="76" customFormat="1" x14ac:dyDescent="0.25">
      <c r="A23" s="76" t="s">
        <v>209</v>
      </c>
      <c r="B23" s="76" t="e">
        <f>MATCH(B22,INDEX(MTD,1,),0)</f>
        <v>#N/A</v>
      </c>
      <c r="C23" s="6" t="s">
        <v>210</v>
      </c>
      <c r="D23" s="41"/>
      <c r="E23" s="41"/>
    </row>
    <row r="24" spans="1:5" s="76" customFormat="1" x14ac:dyDescent="0.25">
      <c r="B24" s="76" t="str">
        <f>"PLTD-MTD-"&amp;UPPER(RepMonth)&amp;"-"&amp;RepYear</f>
        <v>PLTD-MTD-JAN-16</v>
      </c>
      <c r="C24" s="6"/>
      <c r="D24" s="41"/>
      <c r="E24" s="41"/>
    </row>
    <row r="25" spans="1:5" s="73" customFormat="1" x14ac:dyDescent="0.25">
      <c r="A25" s="76" t="s">
        <v>211</v>
      </c>
      <c r="B25" s="76" t="e">
        <f>MATCH(B24,INDEX(MTD,1,),0)</f>
        <v>#N/A</v>
      </c>
      <c r="C25" s="6" t="s">
        <v>210</v>
      </c>
      <c r="D25" s="41"/>
      <c r="E25" s="41"/>
    </row>
    <row r="26" spans="1:5" s="79" customFormat="1" x14ac:dyDescent="0.25">
      <c r="C26" s="6"/>
      <c r="D26" s="41"/>
      <c r="E26" s="41"/>
    </row>
    <row r="27" spans="1:5" s="79" customFormat="1" x14ac:dyDescent="0.25">
      <c r="A27" s="40" t="s">
        <v>373</v>
      </c>
      <c r="C27" s="6"/>
      <c r="D27" s="41"/>
      <c r="E27" s="41"/>
    </row>
    <row r="28" spans="1:5" s="79" customFormat="1" x14ac:dyDescent="0.25">
      <c r="A28" s="83" t="s">
        <v>389</v>
      </c>
      <c r="B28" s="58" t="str">
        <f>UPPER(C5)&amp;"-"&amp;C6</f>
        <v>JAN-15</v>
      </c>
      <c r="C28" s="6" t="s">
        <v>388</v>
      </c>
      <c r="D28" s="41"/>
      <c r="E28" s="41"/>
    </row>
    <row r="29" spans="1:5" s="79" customFormat="1" x14ac:dyDescent="0.25">
      <c r="A29" s="79" t="s">
        <v>256</v>
      </c>
      <c r="B29" s="58"/>
      <c r="C29" s="6"/>
      <c r="D29" s="41"/>
      <c r="E29" s="41"/>
    </row>
    <row r="30" spans="1:5" s="79" customFormat="1" x14ac:dyDescent="0.25">
      <c r="B30" s="58" t="str">
        <f>"PLTD-"&amp;OpeningTBType&amp;"-"&amp;OpeningPeriodName</f>
        <v>PLTD-EOY-JAN-15</v>
      </c>
      <c r="C30" s="6"/>
      <c r="D30" s="41"/>
      <c r="E30" s="41"/>
    </row>
    <row r="31" spans="1:5" s="79" customFormat="1" x14ac:dyDescent="0.25">
      <c r="A31" s="79" t="s">
        <v>257</v>
      </c>
      <c r="B31" s="58" t="e">
        <f>MATCH(B30,INDEX(MTD,1,),0)</f>
        <v>#N/A</v>
      </c>
      <c r="C31" s="6" t="s">
        <v>324</v>
      </c>
      <c r="D31" s="41"/>
      <c r="E31" s="41"/>
    </row>
    <row r="32" spans="1:5" s="79" customFormat="1" x14ac:dyDescent="0.25">
      <c r="C32" s="6"/>
      <c r="D32" s="41"/>
      <c r="E32" s="41"/>
    </row>
    <row r="33" spans="1:7" s="73" customFormat="1" x14ac:dyDescent="0.25">
      <c r="A33" s="41" t="s">
        <v>386</v>
      </c>
      <c r="B33" s="6"/>
      <c r="C33" s="6"/>
      <c r="D33" s="41"/>
      <c r="E33" s="41"/>
    </row>
    <row r="34" spans="1:7" s="73" customFormat="1" x14ac:dyDescent="0.25">
      <c r="A34" s="91" t="s">
        <v>82</v>
      </c>
      <c r="B34" s="116">
        <f>C4-1</f>
        <v>15</v>
      </c>
      <c r="C34" t="str">
        <f>"2 digit version of previous year so full year is  20"&amp;PrevYear</f>
        <v>2 digit version of previous year so full year is  2015</v>
      </c>
      <c r="D34"/>
      <c r="E34"/>
      <c r="F34"/>
    </row>
    <row r="35" spans="1:7" s="73" customFormat="1" x14ac:dyDescent="0.25">
      <c r="A35" s="73" t="s">
        <v>183</v>
      </c>
      <c r="B35" s="116">
        <f>MATCH(C3,INDEX(Prev_Month_Table,,1),0)</f>
        <v>1</v>
      </c>
    </row>
    <row r="36" spans="1:7" x14ac:dyDescent="0.25">
      <c r="A36" t="s">
        <v>168</v>
      </c>
      <c r="B36" s="58" t="str">
        <f>INDEX(Prev_Month_Table,B35,2)</f>
        <v>Dec</v>
      </c>
      <c r="G36" s="73"/>
    </row>
    <row r="37" spans="1:7" x14ac:dyDescent="0.25">
      <c r="A37" s="73" t="s">
        <v>176</v>
      </c>
      <c r="B37" s="58">
        <f>INDEX(Prev_Month_Table,B35,3)+C4</f>
        <v>15</v>
      </c>
      <c r="C37" s="73"/>
      <c r="D37" s="73"/>
      <c r="E37" s="73"/>
      <c r="F37" s="73"/>
    </row>
    <row r="38" spans="1:7" x14ac:dyDescent="0.25">
      <c r="A38" s="73" t="s">
        <v>196</v>
      </c>
      <c r="B38" s="58" t="str">
        <f>RepMonth&amp;" "&amp;RepYear</f>
        <v>Jan 16</v>
      </c>
      <c r="C38" s="73"/>
      <c r="D38" s="73"/>
      <c r="E38" s="73"/>
      <c r="F38" s="73"/>
      <c r="G38" s="73"/>
    </row>
    <row r="40" spans="1:7" x14ac:dyDescent="0.25">
      <c r="A40" t="s">
        <v>169</v>
      </c>
      <c r="G40" s="73"/>
    </row>
    <row r="41" spans="1:7" x14ac:dyDescent="0.25">
      <c r="A41" t="s">
        <v>173</v>
      </c>
      <c r="B41" t="str">
        <f>"BS-"&amp;UPPER(C3)&amp;"-"&amp;B34</f>
        <v>BS-JAN-15</v>
      </c>
      <c r="C41" t="s">
        <v>170</v>
      </c>
      <c r="G41" s="73"/>
    </row>
    <row r="42" spans="1:7" x14ac:dyDescent="0.25">
      <c r="A42" t="s">
        <v>172</v>
      </c>
      <c r="B42">
        <f>MATCH(B41,INDEX(BS_History,1,),0)</f>
        <v>18</v>
      </c>
      <c r="C42" t="s">
        <v>171</v>
      </c>
    </row>
    <row r="43" spans="1:7" x14ac:dyDescent="0.25">
      <c r="A43" t="s">
        <v>175</v>
      </c>
      <c r="B43" s="73" t="str">
        <f>"BS-"&amp;UPPER(B36)&amp;"-"&amp;B37</f>
        <v>BS-DEC-15</v>
      </c>
      <c r="C43" t="s">
        <v>185</v>
      </c>
    </row>
    <row r="44" spans="1:7" s="73" customFormat="1" x14ac:dyDescent="0.25">
      <c r="A44" s="73" t="s">
        <v>184</v>
      </c>
      <c r="B44" s="73">
        <f>MATCH(B43,INDEX(BS_History,1,),0)</f>
        <v>22</v>
      </c>
      <c r="C44"/>
      <c r="D44"/>
      <c r="E44"/>
      <c r="F44"/>
      <c r="G44"/>
    </row>
    <row r="45" spans="1:7" x14ac:dyDescent="0.25">
      <c r="A45" s="73" t="s">
        <v>189</v>
      </c>
      <c r="B45" s="73" t="str">
        <f>"BS-"&amp;UPPER(C5)&amp;"-"&amp;C6</f>
        <v>BS-JAN-15</v>
      </c>
      <c r="C45" s="73" t="s">
        <v>186</v>
      </c>
    </row>
    <row r="46" spans="1:7" s="73" customFormat="1" x14ac:dyDescent="0.25">
      <c r="A46" s="73" t="s">
        <v>190</v>
      </c>
      <c r="B46" s="73">
        <f>MATCH(B45,INDEX(BS_History,1,),0)</f>
        <v>18</v>
      </c>
      <c r="D46"/>
      <c r="E46"/>
      <c r="F46"/>
      <c r="G46"/>
    </row>
    <row r="47" spans="1:7" x14ac:dyDescent="0.25">
      <c r="A47" s="73"/>
      <c r="B47" s="73"/>
      <c r="C47" s="73"/>
      <c r="D47" s="73"/>
      <c r="E47" s="73"/>
      <c r="F47" s="73"/>
    </row>
    <row r="48" spans="1:7" x14ac:dyDescent="0.25">
      <c r="A48" s="40" t="s">
        <v>251</v>
      </c>
    </row>
    <row r="49" spans="1:7" x14ac:dyDescent="0.25">
      <c r="A49" s="73"/>
      <c r="B49" s="73" t="str">
        <f>"TTB-"&amp;UPPER(C7)&amp;"-"&amp;UPPER(C5)&amp;"-"&amp;C6</f>
        <v>TTB-EOY-JAN-15</v>
      </c>
      <c r="C49" s="73"/>
      <c r="D49" s="73"/>
      <c r="E49" s="73"/>
      <c r="F49" s="73"/>
    </row>
    <row r="50" spans="1:7" x14ac:dyDescent="0.25">
      <c r="A50" t="s">
        <v>194</v>
      </c>
      <c r="B50" s="73">
        <f>MATCH(B49,INDEX(SageTrialBalance,1,),0)</f>
        <v>54</v>
      </c>
      <c r="G50" s="73"/>
    </row>
    <row r="52" spans="1:7" x14ac:dyDescent="0.25">
      <c r="A52" s="79" t="s">
        <v>252</v>
      </c>
      <c r="G52" s="73"/>
    </row>
    <row r="53" spans="1:7" x14ac:dyDescent="0.25">
      <c r="A53" s="79"/>
      <c r="B53" s="79" t="str">
        <f>"TTB-YTD-"&amp;UPPER(B36)&amp;"-"&amp;B37</f>
        <v>TTB-YTD-DEC-15</v>
      </c>
    </row>
    <row r="54" spans="1:7" x14ac:dyDescent="0.25">
      <c r="A54" s="79" t="s">
        <v>253</v>
      </c>
      <c r="B54" s="79">
        <f>MATCH(B53,INDEX(SageTrialBalance,1,),0)</f>
        <v>40</v>
      </c>
    </row>
  </sheetData>
  <pageMargins left="0.7" right="0.7" top="0.75" bottom="0.75" header="0.3" footer="0.3"/>
  <pageSetup paperSize="9" orientation="portrait" horizontalDpi="0" verticalDpi="0" r:id="rId1"/>
  <headerFooter>
    <oddHeader>&amp;RJan 14</oddHeader>
  </headerFooter>
  <drawing r:id="rId2"/>
  <legacyDrawing r:id="rId3"/>
  <controls>
    <mc:AlternateContent xmlns:mc="http://schemas.openxmlformats.org/markup-compatibility/2006">
      <mc:Choice Requires="x14">
        <control shapeId="11269" r:id="rId4" name="CommandButton4">
          <controlPr defaultSize="0" autoLine="0" r:id="rId5">
            <anchor moveWithCells="1">
              <from>
                <xdr:col>12</xdr:col>
                <xdr:colOff>581025</xdr:colOff>
                <xdr:row>12</xdr:row>
                <xdr:rowOff>114300</xdr:rowOff>
              </from>
              <to>
                <xdr:col>17</xdr:col>
                <xdr:colOff>57150</xdr:colOff>
                <xdr:row>15</xdr:row>
                <xdr:rowOff>28575</xdr:rowOff>
              </to>
            </anchor>
          </controlPr>
        </control>
      </mc:Choice>
      <mc:Fallback>
        <control shapeId="11269" r:id="rId4" name="CommandButton4"/>
      </mc:Fallback>
    </mc:AlternateContent>
    <mc:AlternateContent xmlns:mc="http://schemas.openxmlformats.org/markup-compatibility/2006">
      <mc:Choice Requires="x14">
        <control shapeId="11268" r:id="rId6" name="CommandButton3">
          <controlPr defaultSize="0" autoLine="0" r:id="rId7">
            <anchor moveWithCells="1">
              <from>
                <xdr:col>12</xdr:col>
                <xdr:colOff>581025</xdr:colOff>
                <xdr:row>8</xdr:row>
                <xdr:rowOff>161925</xdr:rowOff>
              </from>
              <to>
                <xdr:col>17</xdr:col>
                <xdr:colOff>57150</xdr:colOff>
                <xdr:row>11</xdr:row>
                <xdr:rowOff>76200</xdr:rowOff>
              </to>
            </anchor>
          </controlPr>
        </control>
      </mc:Choice>
      <mc:Fallback>
        <control shapeId="11268" r:id="rId6" name="CommandButton3"/>
      </mc:Fallback>
    </mc:AlternateContent>
    <mc:AlternateContent xmlns:mc="http://schemas.openxmlformats.org/markup-compatibility/2006">
      <mc:Choice Requires="x14">
        <control shapeId="11267" r:id="rId8" name="CommandButton1">
          <controlPr defaultSize="0" autoLine="0" r:id="rId9">
            <anchor moveWithCells="1">
              <from>
                <xdr:col>12</xdr:col>
                <xdr:colOff>581025</xdr:colOff>
                <xdr:row>5</xdr:row>
                <xdr:rowOff>28575</xdr:rowOff>
              </from>
              <to>
                <xdr:col>17</xdr:col>
                <xdr:colOff>57150</xdr:colOff>
                <xdr:row>7</xdr:row>
                <xdr:rowOff>133350</xdr:rowOff>
              </to>
            </anchor>
          </controlPr>
        </control>
      </mc:Choice>
      <mc:Fallback>
        <control shapeId="11267" r:id="rId8" name="CommandButton1"/>
      </mc:Fallback>
    </mc:AlternateContent>
    <mc:AlternateContent xmlns:mc="http://schemas.openxmlformats.org/markup-compatibility/2006">
      <mc:Choice Requires="x14">
        <control shapeId="11266" r:id="rId10" name="CommandButton2">
          <controlPr defaultSize="0" autoLine="0" r:id="rId11">
            <anchor moveWithCells="1">
              <from>
                <xdr:col>12</xdr:col>
                <xdr:colOff>581025</xdr:colOff>
                <xdr:row>1</xdr:row>
                <xdr:rowOff>152400</xdr:rowOff>
              </from>
              <to>
                <xdr:col>17</xdr:col>
                <xdr:colOff>57150</xdr:colOff>
                <xdr:row>3</xdr:row>
                <xdr:rowOff>180975</xdr:rowOff>
              </to>
            </anchor>
          </controlPr>
        </control>
      </mc:Choice>
      <mc:Fallback>
        <control shapeId="11266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B1:AD105"/>
  <sheetViews>
    <sheetView topLeftCell="B5" workbookViewId="0">
      <pane xSplit="1" ySplit="5" topLeftCell="C88" activePane="bottomRight" state="frozen"/>
      <selection activeCell="B5" sqref="B5"/>
      <selection pane="topRight" activeCell="C5" sqref="C5"/>
      <selection pane="bottomLeft" activeCell="B10" sqref="B10"/>
      <selection pane="bottomRight" activeCell="B79" sqref="B79"/>
    </sheetView>
  </sheetViews>
  <sheetFormatPr defaultRowHeight="15" x14ac:dyDescent="0.25"/>
  <cols>
    <col min="1" max="1" width="9.140625" style="79"/>
    <col min="2" max="2" width="11.7109375" style="79" customWidth="1"/>
    <col min="3" max="15" width="13.7109375" style="79" customWidth="1"/>
    <col min="16" max="16384" width="9.140625" style="79"/>
  </cols>
  <sheetData>
    <row r="1" spans="2:30" ht="18.75" x14ac:dyDescent="0.3">
      <c r="B1" s="56" t="s">
        <v>139</v>
      </c>
    </row>
    <row r="2" spans="2:30" ht="18.75" x14ac:dyDescent="0.3">
      <c r="B2" s="56" t="s">
        <v>140</v>
      </c>
      <c r="G2" s="79" t="s">
        <v>143</v>
      </c>
      <c r="H2" s="79" t="s">
        <v>143</v>
      </c>
    </row>
    <row r="3" spans="2:30" ht="18.75" x14ac:dyDescent="0.3">
      <c r="B3" s="56"/>
    </row>
    <row r="4" spans="2:30" ht="18.75" x14ac:dyDescent="0.3">
      <c r="B4" s="56"/>
    </row>
    <row r="5" spans="2:30" x14ac:dyDescent="0.25">
      <c r="B5" s="79">
        <v>1</v>
      </c>
      <c r="C5" s="79">
        <v>2</v>
      </c>
      <c r="D5" s="79">
        <v>3</v>
      </c>
      <c r="E5" s="79">
        <v>4</v>
      </c>
      <c r="F5" s="79">
        <v>5</v>
      </c>
      <c r="G5" s="79">
        <v>6</v>
      </c>
      <c r="H5" s="79">
        <v>7</v>
      </c>
      <c r="I5" s="79">
        <v>8</v>
      </c>
      <c r="J5" s="79">
        <v>9</v>
      </c>
      <c r="K5" s="79">
        <v>10</v>
      </c>
      <c r="L5" s="79">
        <v>11</v>
      </c>
      <c r="M5" s="79">
        <v>12</v>
      </c>
      <c r="N5" s="79">
        <v>13</v>
      </c>
      <c r="O5" s="79">
        <v>14</v>
      </c>
    </row>
    <row r="6" spans="2:30" x14ac:dyDescent="0.25">
      <c r="C6" s="60">
        <f>SUM(C10:C107)</f>
        <v>-1.5279510989785194E-10</v>
      </c>
      <c r="D6" s="60">
        <f t="shared" ref="D6:AD6" si="0">SUM(D10:D104)</f>
        <v>0</v>
      </c>
      <c r="E6" s="60">
        <f t="shared" si="0"/>
        <v>2.0691004465334117E-11</v>
      </c>
      <c r="F6" s="60">
        <f t="shared" si="0"/>
        <v>-4.0927261579781771E-12</v>
      </c>
      <c r="G6" s="60">
        <f t="shared" si="0"/>
        <v>-2.5920599000528455E-11</v>
      </c>
      <c r="H6" s="60">
        <f t="shared" si="0"/>
        <v>-4.4565240386873484E-11</v>
      </c>
      <c r="I6" s="60">
        <f t="shared" si="0"/>
        <v>1.0004441719502211E-11</v>
      </c>
      <c r="J6" s="60">
        <f t="shared" si="0"/>
        <v>1.3824319466948509E-10</v>
      </c>
      <c r="K6" s="60">
        <f t="shared" si="0"/>
        <v>-6.0026650317013264E-11</v>
      </c>
      <c r="L6" s="60">
        <f t="shared" si="0"/>
        <v>-5.3660187404602766E-11</v>
      </c>
      <c r="M6" s="60">
        <f t="shared" si="0"/>
        <v>9.4587448984384537E-11</v>
      </c>
      <c r="N6" s="60">
        <f t="shared" si="0"/>
        <v>7.1850081440061331E-11</v>
      </c>
      <c r="O6" s="60">
        <f t="shared" si="0"/>
        <v>-2.9285729397088289E-10</v>
      </c>
      <c r="P6" s="60">
        <f t="shared" si="0"/>
        <v>-7.8216544352471828E-11</v>
      </c>
      <c r="Q6" s="60">
        <f t="shared" si="0"/>
        <v>-1.1198153515579179E-11</v>
      </c>
      <c r="R6" s="60">
        <f t="shared" si="0"/>
        <v>3.4197000786662102E-10</v>
      </c>
      <c r="S6" s="60">
        <f t="shared" si="0"/>
        <v>2.0691004465334117E-11</v>
      </c>
      <c r="T6" s="60">
        <f t="shared" si="0"/>
        <v>-4.5474735088646412E-13</v>
      </c>
      <c r="U6" s="60">
        <f t="shared" si="0"/>
        <v>-3.865352482534945E-12</v>
      </c>
      <c r="V6" s="60">
        <f t="shared" si="0"/>
        <v>-4.5474735088646412E-12</v>
      </c>
      <c r="W6" s="60">
        <f t="shared" si="0"/>
        <v>-2.0463630789890885E-12</v>
      </c>
      <c r="X6" s="60">
        <f t="shared" si="0"/>
        <v>-6.5938365878537297E-12</v>
      </c>
      <c r="Y6" s="60">
        <f t="shared" si="0"/>
        <v>-8.1854523159563541E-12</v>
      </c>
      <c r="Z6" s="60">
        <f t="shared" si="0"/>
        <v>2.5011104298755527E-12</v>
      </c>
      <c r="AA6" s="60">
        <f t="shared" si="0"/>
        <v>-1.3415046851150692E-11</v>
      </c>
      <c r="AB6" s="60">
        <f t="shared" si="0"/>
        <v>-9.3223206931725144E-12</v>
      </c>
      <c r="AC6" s="60">
        <f t="shared" si="0"/>
        <v>1.7053025658242404E-12</v>
      </c>
      <c r="AD6" s="60">
        <f t="shared" si="0"/>
        <v>-1.7962520360015333E-11</v>
      </c>
    </row>
    <row r="7" spans="2:30" x14ac:dyDescent="0.25">
      <c r="B7" s="84">
        <v>1</v>
      </c>
      <c r="C7" s="79" t="s">
        <v>1</v>
      </c>
      <c r="D7" s="79" t="s">
        <v>1</v>
      </c>
      <c r="E7" s="79" t="s">
        <v>1</v>
      </c>
      <c r="F7" s="79" t="s">
        <v>1</v>
      </c>
      <c r="G7" s="79" t="s">
        <v>1</v>
      </c>
      <c r="H7" s="79" t="s">
        <v>1</v>
      </c>
      <c r="I7" s="79" t="s">
        <v>1</v>
      </c>
      <c r="J7" s="79" t="s">
        <v>1</v>
      </c>
      <c r="K7" s="79" t="s">
        <v>1</v>
      </c>
      <c r="L7" s="79" t="s">
        <v>1</v>
      </c>
      <c r="M7" s="79" t="s">
        <v>1</v>
      </c>
      <c r="N7" s="79" t="s">
        <v>1</v>
      </c>
      <c r="O7" s="79" t="s">
        <v>1</v>
      </c>
      <c r="P7" s="79" t="s">
        <v>1</v>
      </c>
      <c r="Q7" s="79" t="s">
        <v>84</v>
      </c>
      <c r="R7" s="79" t="s">
        <v>84</v>
      </c>
      <c r="S7" s="79" t="s">
        <v>84</v>
      </c>
      <c r="T7" s="79" t="s">
        <v>84</v>
      </c>
      <c r="U7" s="79" t="s">
        <v>84</v>
      </c>
      <c r="V7" s="79" t="s">
        <v>84</v>
      </c>
      <c r="W7" s="79" t="s">
        <v>84</v>
      </c>
      <c r="X7" s="79" t="s">
        <v>84</v>
      </c>
      <c r="Y7" s="79" t="s">
        <v>84</v>
      </c>
      <c r="Z7" s="79" t="s">
        <v>84</v>
      </c>
      <c r="AA7" s="79" t="s">
        <v>84</v>
      </c>
      <c r="AB7" s="79" t="s">
        <v>84</v>
      </c>
      <c r="AC7" s="79" t="s">
        <v>84</v>
      </c>
      <c r="AD7" s="79" t="s">
        <v>84</v>
      </c>
    </row>
    <row r="8" spans="2:30" x14ac:dyDescent="0.25">
      <c r="B8" s="84">
        <v>2</v>
      </c>
      <c r="C8" s="79" t="s">
        <v>326</v>
      </c>
      <c r="D8" s="79" t="s">
        <v>327</v>
      </c>
      <c r="E8" s="79" t="s">
        <v>328</v>
      </c>
      <c r="F8" s="79" t="s">
        <v>329</v>
      </c>
      <c r="G8" s="79" t="s">
        <v>330</v>
      </c>
      <c r="H8" s="79" t="s">
        <v>331</v>
      </c>
      <c r="I8" s="79" t="s">
        <v>332</v>
      </c>
      <c r="J8" s="79" t="s">
        <v>333</v>
      </c>
      <c r="K8" s="79" t="s">
        <v>334</v>
      </c>
      <c r="L8" s="79" t="s">
        <v>335</v>
      </c>
      <c r="M8" s="79" t="s">
        <v>336</v>
      </c>
      <c r="N8" s="79" t="s">
        <v>337</v>
      </c>
      <c r="O8" s="79" t="s">
        <v>338</v>
      </c>
      <c r="P8" s="79" t="s">
        <v>339</v>
      </c>
      <c r="Q8" s="79" t="s">
        <v>326</v>
      </c>
      <c r="R8" s="79" t="s">
        <v>327</v>
      </c>
      <c r="S8" s="79" t="s">
        <v>328</v>
      </c>
      <c r="T8" s="79" t="s">
        <v>329</v>
      </c>
      <c r="U8" s="79" t="s">
        <v>330</v>
      </c>
      <c r="V8" s="79" t="s">
        <v>331</v>
      </c>
      <c r="W8" s="79" t="s">
        <v>332</v>
      </c>
      <c r="X8" s="79" t="s">
        <v>333</v>
      </c>
      <c r="Y8" s="79" t="s">
        <v>334</v>
      </c>
      <c r="Z8" s="79" t="s">
        <v>335</v>
      </c>
      <c r="AA8" s="79" t="s">
        <v>336</v>
      </c>
      <c r="AB8" s="79" t="s">
        <v>337</v>
      </c>
      <c r="AC8" s="79" t="s">
        <v>338</v>
      </c>
      <c r="AD8" s="79" t="s">
        <v>339</v>
      </c>
    </row>
    <row r="9" spans="2:30" x14ac:dyDescent="0.25">
      <c r="B9" s="84">
        <v>3</v>
      </c>
      <c r="C9" s="79" t="s">
        <v>340</v>
      </c>
      <c r="D9" s="79" t="s">
        <v>341</v>
      </c>
      <c r="E9" s="79" t="s">
        <v>342</v>
      </c>
      <c r="F9" s="79" t="s">
        <v>343</v>
      </c>
      <c r="G9" s="79" t="s">
        <v>344</v>
      </c>
      <c r="H9" s="79" t="s">
        <v>345</v>
      </c>
      <c r="I9" s="79" t="s">
        <v>346</v>
      </c>
      <c r="J9" s="79" t="s">
        <v>347</v>
      </c>
      <c r="K9" s="79" t="s">
        <v>348</v>
      </c>
      <c r="L9" s="79" t="s">
        <v>349</v>
      </c>
      <c r="M9" s="79" t="s">
        <v>350</v>
      </c>
      <c r="N9" s="79" t="s">
        <v>351</v>
      </c>
      <c r="O9" s="79" t="s">
        <v>352</v>
      </c>
      <c r="P9" s="79" t="s">
        <v>325</v>
      </c>
      <c r="Q9" s="79" t="s">
        <v>353</v>
      </c>
      <c r="R9" s="79" t="s">
        <v>354</v>
      </c>
      <c r="S9" s="79" t="s">
        <v>355</v>
      </c>
      <c r="T9" s="79" t="s">
        <v>356</v>
      </c>
      <c r="U9" s="79" t="s">
        <v>357</v>
      </c>
      <c r="V9" s="79" t="s">
        <v>358</v>
      </c>
      <c r="W9" s="79" t="s">
        <v>359</v>
      </c>
      <c r="X9" s="79" t="s">
        <v>360</v>
      </c>
      <c r="Y9" s="79" t="s">
        <v>361</v>
      </c>
      <c r="Z9" s="79" t="s">
        <v>362</v>
      </c>
      <c r="AA9" s="79" t="s">
        <v>363</v>
      </c>
      <c r="AB9" s="79" t="s">
        <v>364</v>
      </c>
      <c r="AC9" s="79" t="s">
        <v>365</v>
      </c>
      <c r="AD9" s="79" t="s">
        <v>366</v>
      </c>
    </row>
    <row r="10" spans="2:30" x14ac:dyDescent="0.25">
      <c r="B10" s="84" t="s">
        <v>368</v>
      </c>
    </row>
    <row r="11" spans="2:30" x14ac:dyDescent="0.25">
      <c r="B11" s="84" t="s">
        <v>218</v>
      </c>
      <c r="C11" s="79">
        <v>1800</v>
      </c>
      <c r="D11" s="79">
        <v>1800</v>
      </c>
      <c r="R11" s="79">
        <v>1800</v>
      </c>
    </row>
    <row r="12" spans="2:30" x14ac:dyDescent="0.25">
      <c r="B12" s="84" t="s">
        <v>219</v>
      </c>
      <c r="C12" s="79">
        <v>-7602</v>
      </c>
      <c r="D12" s="79">
        <v>-3578.8</v>
      </c>
      <c r="G12" s="79">
        <v>-1000.37</v>
      </c>
      <c r="H12" s="79">
        <v>-1000.37</v>
      </c>
      <c r="I12" s="79">
        <v>-1000.37</v>
      </c>
      <c r="J12" s="79">
        <v>-3512.63</v>
      </c>
      <c r="K12" s="79">
        <v>-3512.63</v>
      </c>
      <c r="L12" s="79">
        <v>-4023.2</v>
      </c>
      <c r="M12" s="79">
        <v>-4023.2</v>
      </c>
      <c r="N12" s="79">
        <v>-4023.2</v>
      </c>
      <c r="O12" s="79">
        <v>-4023.2</v>
      </c>
      <c r="P12" s="79">
        <v>-4023.2</v>
      </c>
      <c r="U12" s="79">
        <v>-1000.37</v>
      </c>
      <c r="X12" s="79">
        <v>-2512.2600000000002</v>
      </c>
      <c r="Z12" s="79">
        <v>-510.57</v>
      </c>
    </row>
    <row r="13" spans="2:30" x14ac:dyDescent="0.25">
      <c r="B13" s="84" t="s">
        <v>220</v>
      </c>
      <c r="C13" s="79">
        <v>1825</v>
      </c>
      <c r="D13" s="79">
        <v>1825</v>
      </c>
      <c r="P13" s="79">
        <v>2584.1999999999998</v>
      </c>
      <c r="R13" s="79">
        <v>1825</v>
      </c>
      <c r="AD13" s="79">
        <v>2584.1999999999998</v>
      </c>
    </row>
    <row r="14" spans="2:30" x14ac:dyDescent="0.25">
      <c r="B14" s="84" t="s">
        <v>221</v>
      </c>
      <c r="C14" s="79">
        <v>-5753.33</v>
      </c>
      <c r="M14" s="79">
        <v>-5753.33</v>
      </c>
      <c r="N14" s="79">
        <v>-5753.33</v>
      </c>
      <c r="O14" s="79">
        <v>-5753.33</v>
      </c>
      <c r="P14" s="79">
        <v>8000.67</v>
      </c>
      <c r="AA14" s="79">
        <v>-5753.33</v>
      </c>
      <c r="AD14" s="79">
        <v>13754</v>
      </c>
    </row>
    <row r="15" spans="2:30" x14ac:dyDescent="0.25">
      <c r="B15" s="84" t="s">
        <v>222</v>
      </c>
      <c r="C15" s="79">
        <v>2400</v>
      </c>
      <c r="D15" s="79">
        <v>2400</v>
      </c>
      <c r="P15" s="79">
        <v>-12314.67</v>
      </c>
      <c r="R15" s="79">
        <v>2400</v>
      </c>
      <c r="AD15" s="79">
        <v>-12314.67</v>
      </c>
    </row>
    <row r="16" spans="2:30" x14ac:dyDescent="0.25">
      <c r="B16" s="84" t="s">
        <v>119</v>
      </c>
      <c r="C16" s="79">
        <v>-126706.47</v>
      </c>
      <c r="D16" s="79">
        <v>13594.93</v>
      </c>
      <c r="E16" s="79">
        <v>47988.97</v>
      </c>
      <c r="F16" s="79">
        <v>77457.69</v>
      </c>
      <c r="G16" s="79">
        <v>-69266.759999999995</v>
      </c>
      <c r="H16" s="79">
        <v>-59095.34</v>
      </c>
      <c r="I16" s="79">
        <v>25619.85</v>
      </c>
      <c r="J16" s="79">
        <v>-67244.429999999993</v>
      </c>
      <c r="K16" s="79">
        <v>-47395.53</v>
      </c>
      <c r="L16" s="79">
        <v>-30493.9</v>
      </c>
      <c r="M16" s="79">
        <v>-143098.35999999999</v>
      </c>
      <c r="N16" s="79">
        <v>-141536.18</v>
      </c>
      <c r="O16" s="79">
        <v>-140301.4</v>
      </c>
      <c r="P16" s="79">
        <v>-142246.14000000001</v>
      </c>
      <c r="Q16" s="79">
        <v>28734.43</v>
      </c>
      <c r="R16" s="79">
        <v>-29545.69</v>
      </c>
      <c r="S16" s="79">
        <v>47988.97</v>
      </c>
      <c r="T16" s="79">
        <v>29468.720000000001</v>
      </c>
      <c r="U16" s="79">
        <v>-146724.45000000001</v>
      </c>
      <c r="V16" s="79">
        <v>10171.42</v>
      </c>
      <c r="W16" s="79">
        <v>84715.19</v>
      </c>
      <c r="X16" s="79">
        <v>-92864.28</v>
      </c>
      <c r="Y16" s="79">
        <v>19848.900000000001</v>
      </c>
      <c r="Z16" s="79">
        <v>16901.63</v>
      </c>
      <c r="AA16" s="79">
        <v>-112604.46</v>
      </c>
      <c r="AB16" s="79">
        <v>1562.18</v>
      </c>
      <c r="AC16" s="79">
        <v>1234.78</v>
      </c>
      <c r="AD16" s="79">
        <v>-1944.74</v>
      </c>
    </row>
    <row r="17" spans="2:30" x14ac:dyDescent="0.25">
      <c r="B17" s="84" t="s">
        <v>406</v>
      </c>
    </row>
    <row r="18" spans="2:30" x14ac:dyDescent="0.25">
      <c r="B18" s="84" t="s">
        <v>118</v>
      </c>
      <c r="C18" s="79">
        <v>-4336.7</v>
      </c>
      <c r="D18" s="79">
        <v>-151449.28</v>
      </c>
      <c r="E18" s="79">
        <v>83322.789999999994</v>
      </c>
      <c r="F18" s="79">
        <v>276915.51</v>
      </c>
      <c r="G18" s="79">
        <v>306439.57</v>
      </c>
      <c r="H18" s="79">
        <v>303731.38</v>
      </c>
      <c r="I18" s="79">
        <v>211723.89</v>
      </c>
      <c r="J18" s="79">
        <v>157729.84</v>
      </c>
      <c r="K18" s="79">
        <v>187152.36</v>
      </c>
      <c r="L18" s="79">
        <v>132894.65</v>
      </c>
      <c r="M18" s="79">
        <v>98674.94</v>
      </c>
      <c r="N18" s="79">
        <v>202294.81</v>
      </c>
      <c r="O18" s="79">
        <v>147112.57999999999</v>
      </c>
      <c r="P18" s="79">
        <v>173802.34</v>
      </c>
      <c r="Q18" s="79">
        <v>-5444.95</v>
      </c>
      <c r="R18" s="79">
        <v>-143178.78</v>
      </c>
      <c r="S18" s="79">
        <v>83322.789999999994</v>
      </c>
      <c r="T18" s="79">
        <v>193592.72</v>
      </c>
      <c r="U18" s="79">
        <v>29524.06</v>
      </c>
      <c r="V18" s="79">
        <v>-2708.19</v>
      </c>
      <c r="W18" s="79">
        <v>-92007.49</v>
      </c>
      <c r="X18" s="79">
        <v>-53994.05</v>
      </c>
      <c r="Y18" s="79">
        <v>29422.52</v>
      </c>
      <c r="Z18" s="79">
        <v>-54257.71</v>
      </c>
      <c r="AA18" s="79">
        <v>-34219.71</v>
      </c>
      <c r="AB18" s="79">
        <v>103619.87</v>
      </c>
      <c r="AC18" s="79">
        <v>-55182.23</v>
      </c>
      <c r="AD18" s="79">
        <v>26689.759999999998</v>
      </c>
    </row>
    <row r="19" spans="2:30" x14ac:dyDescent="0.25">
      <c r="B19" s="84" t="s">
        <v>407</v>
      </c>
    </row>
    <row r="20" spans="2:30" x14ac:dyDescent="0.25">
      <c r="B20" s="84" t="s">
        <v>282</v>
      </c>
    </row>
    <row r="21" spans="2:30" x14ac:dyDescent="0.25">
      <c r="B21" s="84" t="s">
        <v>319</v>
      </c>
    </row>
    <row r="22" spans="2:30" x14ac:dyDescent="0.25">
      <c r="B22" s="84" t="s">
        <v>408</v>
      </c>
    </row>
    <row r="23" spans="2:30" x14ac:dyDescent="0.25">
      <c r="B23" s="84" t="s">
        <v>223</v>
      </c>
      <c r="C23" s="79">
        <v>-22453.040000000001</v>
      </c>
      <c r="D23" s="79">
        <v>-21727.4</v>
      </c>
      <c r="G23" s="79">
        <v>-540.64</v>
      </c>
      <c r="H23" s="79">
        <v>-540.64</v>
      </c>
      <c r="I23" s="79">
        <v>-725.64</v>
      </c>
      <c r="J23" s="79">
        <v>-725.64</v>
      </c>
      <c r="K23" s="79">
        <v>-725.64</v>
      </c>
      <c r="L23" s="79">
        <v>-725.64</v>
      </c>
      <c r="M23" s="79">
        <v>-725.64</v>
      </c>
      <c r="N23" s="79">
        <v>-725.64</v>
      </c>
      <c r="O23" s="79">
        <v>-725.64</v>
      </c>
      <c r="P23" s="79">
        <v>-1315.05</v>
      </c>
      <c r="R23" s="79">
        <v>-21727.4</v>
      </c>
      <c r="U23" s="79">
        <v>-540.64</v>
      </c>
      <c r="W23" s="79">
        <v>-185</v>
      </c>
      <c r="AD23" s="79">
        <v>-589.41</v>
      </c>
    </row>
    <row r="24" spans="2:30" x14ac:dyDescent="0.25">
      <c r="B24" s="84" t="s">
        <v>320</v>
      </c>
    </row>
    <row r="25" spans="2:30" x14ac:dyDescent="0.25">
      <c r="B25" s="84" t="s">
        <v>117</v>
      </c>
      <c r="C25" s="79">
        <v>37335.379999999997</v>
      </c>
      <c r="D25" s="79">
        <v>-8346.8700000000008</v>
      </c>
      <c r="E25" s="79">
        <v>-288.39999999999998</v>
      </c>
      <c r="F25" s="79">
        <v>-288.39999999999998</v>
      </c>
      <c r="G25" s="79">
        <v>-288.39999999999998</v>
      </c>
      <c r="H25" s="79">
        <v>-729.7</v>
      </c>
      <c r="I25" s="79">
        <v>-729.7</v>
      </c>
      <c r="J25" s="79">
        <v>-1815.07</v>
      </c>
      <c r="K25" s="79">
        <v>-2007.47</v>
      </c>
      <c r="L25" s="79">
        <v>-2169.4699999999998</v>
      </c>
      <c r="M25" s="79">
        <v>-2550.35</v>
      </c>
      <c r="N25" s="79">
        <v>-2817.75</v>
      </c>
      <c r="O25" s="79">
        <v>45682.25</v>
      </c>
      <c r="P25" s="79">
        <v>45590.25</v>
      </c>
      <c r="Q25" s="79">
        <v>-1637.2</v>
      </c>
      <c r="S25" s="79">
        <v>-288.39999999999998</v>
      </c>
      <c r="V25" s="79">
        <v>-441.3</v>
      </c>
      <c r="X25" s="79">
        <v>-1085.3699999999999</v>
      </c>
      <c r="Y25" s="79">
        <v>-192.4</v>
      </c>
      <c r="Z25" s="79">
        <v>-162</v>
      </c>
      <c r="AA25" s="79">
        <v>-380.88</v>
      </c>
      <c r="AB25" s="79">
        <v>-267.39999999999998</v>
      </c>
      <c r="AC25" s="79">
        <v>48500</v>
      </c>
      <c r="AD25" s="79">
        <v>-92</v>
      </c>
    </row>
    <row r="26" spans="2:30" x14ac:dyDescent="0.25">
      <c r="B26" s="84" t="s">
        <v>116</v>
      </c>
      <c r="C26" s="79">
        <v>8224.09</v>
      </c>
      <c r="D26" s="79">
        <v>15955.17</v>
      </c>
      <c r="E26" s="79">
        <v>-39338.99</v>
      </c>
      <c r="F26" s="79">
        <v>-14464.96</v>
      </c>
      <c r="G26" s="79">
        <v>-60592.43</v>
      </c>
      <c r="H26" s="79">
        <v>-3769.72</v>
      </c>
      <c r="I26" s="79">
        <v>22692.07</v>
      </c>
      <c r="J26" s="79">
        <v>-22727.37</v>
      </c>
      <c r="K26" s="79">
        <v>24895.59</v>
      </c>
      <c r="L26" s="79">
        <v>4906.78</v>
      </c>
      <c r="M26" s="79">
        <v>71614.899999999994</v>
      </c>
      <c r="N26" s="79">
        <v>1478.72</v>
      </c>
      <c r="O26" s="79">
        <v>-7731.08</v>
      </c>
      <c r="P26" s="79">
        <v>-50933.49</v>
      </c>
      <c r="Q26" s="79">
        <v>-10546.1</v>
      </c>
      <c r="R26" s="79">
        <v>-1116.68</v>
      </c>
      <c r="S26" s="79">
        <v>-39338.99</v>
      </c>
      <c r="T26" s="79">
        <v>24874.03</v>
      </c>
      <c r="U26" s="79">
        <v>-46127.47</v>
      </c>
      <c r="V26" s="79">
        <v>56822.71</v>
      </c>
      <c r="W26" s="79">
        <v>26461.79</v>
      </c>
      <c r="X26" s="79">
        <v>-45419.44</v>
      </c>
      <c r="Y26" s="79">
        <v>47622.96</v>
      </c>
      <c r="Z26" s="79">
        <v>-19988.810000000001</v>
      </c>
      <c r="AA26" s="79">
        <v>66708.12</v>
      </c>
      <c r="AB26" s="79">
        <v>-70136.179999999993</v>
      </c>
      <c r="AC26" s="79">
        <v>-9209.7999999999993</v>
      </c>
      <c r="AD26" s="79">
        <v>-43202.41</v>
      </c>
    </row>
    <row r="27" spans="2:30" x14ac:dyDescent="0.25">
      <c r="B27" s="84" t="s">
        <v>144</v>
      </c>
      <c r="C27" s="79">
        <v>0</v>
      </c>
      <c r="D27" s="79">
        <v>0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  <c r="O27" s="79">
        <v>0</v>
      </c>
      <c r="P27" s="79">
        <v>0</v>
      </c>
      <c r="R27" s="79">
        <v>0</v>
      </c>
      <c r="U27" s="79">
        <v>0</v>
      </c>
      <c r="Z27" s="79">
        <v>0</v>
      </c>
      <c r="AA27" s="79">
        <v>0</v>
      </c>
      <c r="AB27" s="79">
        <v>0</v>
      </c>
      <c r="AC27" s="79">
        <v>0</v>
      </c>
      <c r="AD27" s="79">
        <v>0</v>
      </c>
    </row>
    <row r="28" spans="2:30" x14ac:dyDescent="0.25">
      <c r="B28" s="84" t="s">
        <v>224</v>
      </c>
      <c r="C28" s="79">
        <v>0</v>
      </c>
      <c r="L28" s="79">
        <v>0</v>
      </c>
      <c r="M28" s="79">
        <v>0</v>
      </c>
      <c r="N28" s="79">
        <v>0</v>
      </c>
      <c r="O28" s="79">
        <v>0</v>
      </c>
      <c r="P28" s="79">
        <v>0</v>
      </c>
      <c r="Z28" s="79">
        <v>0</v>
      </c>
      <c r="AB28" s="79">
        <v>0</v>
      </c>
    </row>
    <row r="29" spans="2:30" x14ac:dyDescent="0.25">
      <c r="B29" s="84" t="s">
        <v>225</v>
      </c>
      <c r="C29" s="79">
        <v>19107.89</v>
      </c>
      <c r="D29" s="79">
        <v>-478.95</v>
      </c>
      <c r="E29" s="79">
        <v>13399.28</v>
      </c>
      <c r="F29" s="79">
        <v>16460.439999999999</v>
      </c>
      <c r="G29" s="79">
        <v>-9207.8799999999992</v>
      </c>
      <c r="H29" s="79">
        <v>-16645.55</v>
      </c>
      <c r="I29" s="79">
        <v>-22541.38</v>
      </c>
      <c r="J29" s="79">
        <v>13955.45</v>
      </c>
      <c r="K29" s="79">
        <v>-15458.29</v>
      </c>
      <c r="L29" s="79">
        <v>19586.84</v>
      </c>
      <c r="M29" s="79">
        <v>19586.84</v>
      </c>
      <c r="N29" s="79">
        <v>19586.84</v>
      </c>
      <c r="O29" s="79">
        <v>19586.84</v>
      </c>
      <c r="P29" s="79">
        <v>14998.86</v>
      </c>
      <c r="Q29" s="79">
        <v>-30949.96</v>
      </c>
      <c r="R29" s="79">
        <v>31920.04</v>
      </c>
      <c r="S29" s="79">
        <v>13399.28</v>
      </c>
      <c r="T29" s="79">
        <v>3061.16</v>
      </c>
      <c r="U29" s="79">
        <v>-25668.32</v>
      </c>
      <c r="V29" s="79">
        <v>-7437.67</v>
      </c>
      <c r="W29" s="79">
        <v>-5895.83</v>
      </c>
      <c r="X29" s="79">
        <v>36496.83</v>
      </c>
      <c r="Y29" s="79">
        <v>-29413.74</v>
      </c>
      <c r="Z29" s="79">
        <v>35045.129999999997</v>
      </c>
      <c r="AB29" s="79">
        <v>0</v>
      </c>
      <c r="AD29" s="79">
        <v>-4587.9799999999996</v>
      </c>
    </row>
    <row r="30" spans="2:30" x14ac:dyDescent="0.25">
      <c r="B30" s="84" t="s">
        <v>115</v>
      </c>
      <c r="C30" s="79">
        <v>-2791.18</v>
      </c>
      <c r="L30" s="79">
        <v>-15918.37</v>
      </c>
      <c r="M30" s="79">
        <v>-234.43</v>
      </c>
      <c r="N30" s="79">
        <v>-23324.99</v>
      </c>
      <c r="O30" s="79">
        <v>-2791.18</v>
      </c>
      <c r="P30" s="79">
        <v>-52297.94</v>
      </c>
      <c r="Z30" s="79">
        <v>-15918.37</v>
      </c>
      <c r="AA30" s="79">
        <v>15683.94</v>
      </c>
      <c r="AB30" s="79">
        <v>-23090.560000000001</v>
      </c>
      <c r="AC30" s="79">
        <v>20533.810000000001</v>
      </c>
      <c r="AD30" s="79">
        <v>-49506.76</v>
      </c>
    </row>
    <row r="31" spans="2:30" x14ac:dyDescent="0.25">
      <c r="B31" s="84" t="s">
        <v>226</v>
      </c>
      <c r="C31" s="79">
        <v>3978.01</v>
      </c>
      <c r="H31" s="79">
        <v>3978.01</v>
      </c>
      <c r="I31" s="79">
        <v>3978.01</v>
      </c>
      <c r="J31" s="79">
        <v>3978.01</v>
      </c>
      <c r="K31" s="79">
        <v>3978.01</v>
      </c>
      <c r="L31" s="79">
        <v>3978.01</v>
      </c>
      <c r="M31" s="79">
        <v>3978.01</v>
      </c>
      <c r="N31" s="79">
        <v>3978.01</v>
      </c>
      <c r="O31" s="79">
        <v>3978.01</v>
      </c>
      <c r="P31" s="79">
        <v>3981.91</v>
      </c>
      <c r="V31" s="79">
        <v>3978.01</v>
      </c>
      <c r="AD31" s="79">
        <v>3.9</v>
      </c>
    </row>
    <row r="32" spans="2:30" x14ac:dyDescent="0.25">
      <c r="B32" s="84" t="s">
        <v>227</v>
      </c>
      <c r="C32" s="79">
        <v>-10.14</v>
      </c>
      <c r="D32" s="79">
        <v>0</v>
      </c>
      <c r="E32" s="79">
        <v>0</v>
      </c>
      <c r="F32" s="79">
        <v>0</v>
      </c>
      <c r="G32" s="79">
        <v>155.78</v>
      </c>
      <c r="H32" s="79">
        <v>0</v>
      </c>
      <c r="I32" s="79">
        <v>0</v>
      </c>
      <c r="J32" s="79">
        <v>-169.48</v>
      </c>
      <c r="K32" s="79">
        <v>-160.62</v>
      </c>
      <c r="L32" s="79">
        <v>-156.63999999999999</v>
      </c>
      <c r="M32" s="79">
        <v>-109.99</v>
      </c>
      <c r="N32" s="79">
        <v>-156.63999999999999</v>
      </c>
      <c r="O32" s="79">
        <v>-10.14</v>
      </c>
      <c r="P32" s="79">
        <v>-156.63999999999999</v>
      </c>
      <c r="Q32" s="79">
        <v>-272.38</v>
      </c>
      <c r="R32" s="79">
        <v>-89.64</v>
      </c>
      <c r="S32" s="79">
        <v>0</v>
      </c>
      <c r="T32" s="79">
        <v>0</v>
      </c>
      <c r="U32" s="79">
        <v>155.78</v>
      </c>
      <c r="V32" s="79">
        <v>-155.78</v>
      </c>
      <c r="W32" s="79">
        <v>0</v>
      </c>
      <c r="X32" s="79">
        <v>-169.48</v>
      </c>
      <c r="Y32" s="79">
        <v>8.86</v>
      </c>
      <c r="Z32" s="79">
        <v>3.98</v>
      </c>
      <c r="AA32" s="79">
        <v>46.65</v>
      </c>
      <c r="AB32" s="79">
        <v>-46.65</v>
      </c>
      <c r="AC32" s="79">
        <v>146.5</v>
      </c>
      <c r="AD32" s="79">
        <v>-146.5</v>
      </c>
    </row>
    <row r="33" spans="2:30" x14ac:dyDescent="0.25">
      <c r="B33" s="84" t="s">
        <v>228</v>
      </c>
      <c r="C33" s="79">
        <v>98.26</v>
      </c>
      <c r="N33" s="79">
        <v>0</v>
      </c>
      <c r="O33" s="79">
        <v>98.26</v>
      </c>
      <c r="P33" s="79">
        <v>0</v>
      </c>
      <c r="AB33" s="79">
        <v>0</v>
      </c>
      <c r="AC33" s="79">
        <v>98.26</v>
      </c>
      <c r="AD33" s="79">
        <v>-98.26</v>
      </c>
    </row>
    <row r="34" spans="2:30" x14ac:dyDescent="0.25">
      <c r="B34" s="84" t="s">
        <v>158</v>
      </c>
      <c r="C34" s="79">
        <v>30.89</v>
      </c>
      <c r="M34" s="79">
        <v>39.93</v>
      </c>
      <c r="N34" s="79">
        <v>20.6</v>
      </c>
      <c r="O34" s="79">
        <v>30.89</v>
      </c>
      <c r="P34" s="79">
        <v>0</v>
      </c>
      <c r="AA34" s="79">
        <v>39.93</v>
      </c>
      <c r="AB34" s="79">
        <v>-19.329999999999998</v>
      </c>
      <c r="AC34" s="79">
        <v>10.29</v>
      </c>
      <c r="AD34" s="79">
        <v>-30.89</v>
      </c>
    </row>
    <row r="35" spans="2:30" x14ac:dyDescent="0.25">
      <c r="B35" s="84" t="s">
        <v>132</v>
      </c>
      <c r="C35" s="79">
        <v>669.88</v>
      </c>
      <c r="D35" s="79">
        <v>0</v>
      </c>
      <c r="E35" s="79">
        <v>0</v>
      </c>
      <c r="F35" s="79">
        <v>0</v>
      </c>
      <c r="G35" s="79">
        <v>0</v>
      </c>
      <c r="H35" s="79">
        <v>0</v>
      </c>
      <c r="I35" s="79">
        <v>0</v>
      </c>
      <c r="J35" s="79">
        <v>46875</v>
      </c>
      <c r="K35" s="79">
        <v>47544.88</v>
      </c>
      <c r="L35" s="79">
        <v>47544.88</v>
      </c>
      <c r="M35" s="79">
        <v>669.88</v>
      </c>
      <c r="N35" s="79">
        <v>669.88</v>
      </c>
      <c r="O35" s="79">
        <v>669.88</v>
      </c>
      <c r="P35" s="79">
        <v>0</v>
      </c>
      <c r="Q35" s="79">
        <v>-95.86</v>
      </c>
      <c r="R35" s="79">
        <v>160.41999999999999</v>
      </c>
      <c r="S35" s="79">
        <v>0</v>
      </c>
      <c r="T35" s="79">
        <v>0</v>
      </c>
      <c r="U35" s="79">
        <v>0</v>
      </c>
      <c r="V35" s="79">
        <v>0</v>
      </c>
      <c r="W35" s="79">
        <v>0</v>
      </c>
      <c r="X35" s="79">
        <v>46875</v>
      </c>
      <c r="Y35" s="79">
        <v>669.88</v>
      </c>
      <c r="Z35" s="79">
        <v>0</v>
      </c>
      <c r="AA35" s="79">
        <v>-46875</v>
      </c>
      <c r="AB35" s="79">
        <v>0</v>
      </c>
      <c r="AC35" s="79">
        <v>0</v>
      </c>
      <c r="AD35" s="79">
        <v>-669.88</v>
      </c>
    </row>
    <row r="36" spans="2:30" x14ac:dyDescent="0.25">
      <c r="B36" s="84" t="s">
        <v>159</v>
      </c>
      <c r="C36" s="79">
        <v>0</v>
      </c>
      <c r="M36" s="79">
        <v>0</v>
      </c>
      <c r="N36" s="79">
        <v>0</v>
      </c>
      <c r="O36" s="79">
        <v>0</v>
      </c>
      <c r="P36" s="79">
        <v>0</v>
      </c>
      <c r="AA36" s="79">
        <v>0</v>
      </c>
      <c r="AB36" s="79">
        <v>0</v>
      </c>
      <c r="AC36" s="79">
        <v>0</v>
      </c>
      <c r="AD36" s="79">
        <v>0</v>
      </c>
    </row>
    <row r="37" spans="2:30" x14ac:dyDescent="0.25">
      <c r="B37" s="84" t="s">
        <v>160</v>
      </c>
      <c r="C37" s="79">
        <v>-188797.78</v>
      </c>
      <c r="N37" s="79">
        <v>-103454.74</v>
      </c>
      <c r="O37" s="79">
        <v>-188797.78</v>
      </c>
      <c r="P37" s="79">
        <v>-293382.84999999998</v>
      </c>
      <c r="AB37" s="79">
        <v>-103454.74</v>
      </c>
      <c r="AC37" s="79">
        <v>-85343.039999999994</v>
      </c>
      <c r="AD37" s="79">
        <v>-104585.07</v>
      </c>
    </row>
    <row r="38" spans="2:30" x14ac:dyDescent="0.25">
      <c r="B38" s="84" t="s">
        <v>161</v>
      </c>
      <c r="C38" s="79">
        <v>190625</v>
      </c>
      <c r="N38" s="79">
        <v>103125</v>
      </c>
      <c r="O38" s="79">
        <v>190625</v>
      </c>
      <c r="P38" s="79">
        <v>296875</v>
      </c>
      <c r="AB38" s="79">
        <v>103125</v>
      </c>
      <c r="AC38" s="79">
        <v>87500</v>
      </c>
      <c r="AD38" s="79">
        <v>106250</v>
      </c>
    </row>
    <row r="39" spans="2:30" x14ac:dyDescent="0.25">
      <c r="B39" s="84" t="s">
        <v>162</v>
      </c>
      <c r="C39" s="79">
        <v>0</v>
      </c>
      <c r="N39" s="79">
        <v>0</v>
      </c>
      <c r="O39" s="79">
        <v>0</v>
      </c>
      <c r="P39" s="79">
        <v>0</v>
      </c>
      <c r="AB39" s="79">
        <v>0</v>
      </c>
      <c r="AC39" s="79">
        <v>0</v>
      </c>
      <c r="AD39" s="79">
        <v>0</v>
      </c>
    </row>
    <row r="40" spans="2:30" x14ac:dyDescent="0.25">
      <c r="B40" s="84" t="s">
        <v>163</v>
      </c>
      <c r="C40" s="79">
        <v>0</v>
      </c>
      <c r="D40" s="79">
        <v>0</v>
      </c>
      <c r="N40" s="79">
        <v>0</v>
      </c>
      <c r="O40" s="79">
        <v>0</v>
      </c>
      <c r="P40" s="79">
        <v>0</v>
      </c>
      <c r="R40" s="79">
        <v>0</v>
      </c>
      <c r="AB40" s="79">
        <v>0</v>
      </c>
      <c r="AC40" s="79">
        <v>0</v>
      </c>
      <c r="AD40" s="79">
        <v>0</v>
      </c>
    </row>
    <row r="41" spans="2:30" x14ac:dyDescent="0.25">
      <c r="B41" s="84" t="s">
        <v>321</v>
      </c>
    </row>
    <row r="42" spans="2:30" x14ac:dyDescent="0.25">
      <c r="B42" s="84" t="s">
        <v>114</v>
      </c>
      <c r="C42" s="79">
        <v>17513.740000000002</v>
      </c>
      <c r="D42" s="79">
        <v>12169.84</v>
      </c>
      <c r="E42" s="79">
        <v>-98759.77</v>
      </c>
      <c r="F42" s="79">
        <v>-241741.36</v>
      </c>
      <c r="G42" s="79">
        <v>-24378.49</v>
      </c>
      <c r="H42" s="79">
        <v>-81244.97</v>
      </c>
      <c r="I42" s="79">
        <v>-130726.83</v>
      </c>
      <c r="J42" s="79">
        <v>-25249.37</v>
      </c>
      <c r="K42" s="79">
        <v>-98925.5</v>
      </c>
      <c r="L42" s="79">
        <v>-63419.24</v>
      </c>
      <c r="M42" s="79">
        <v>65283.87</v>
      </c>
      <c r="N42" s="79">
        <v>22441.34</v>
      </c>
      <c r="O42" s="79">
        <v>5343.9</v>
      </c>
      <c r="P42" s="79">
        <v>21817.83</v>
      </c>
      <c r="Q42" s="79">
        <v>-9328.07</v>
      </c>
      <c r="R42" s="79">
        <v>-12470.76</v>
      </c>
      <c r="S42" s="79">
        <v>-98759.77</v>
      </c>
      <c r="T42" s="79">
        <v>-142981.59</v>
      </c>
      <c r="U42" s="79">
        <v>217362.87</v>
      </c>
      <c r="V42" s="79">
        <v>-56866.48</v>
      </c>
      <c r="W42" s="79">
        <v>-49481.86</v>
      </c>
      <c r="X42" s="79">
        <v>105477.46</v>
      </c>
      <c r="Y42" s="79">
        <v>-73676.13</v>
      </c>
      <c r="Z42" s="79">
        <v>35506.26</v>
      </c>
      <c r="AA42" s="79">
        <v>128703.11</v>
      </c>
      <c r="AB42" s="79">
        <v>-42842.53</v>
      </c>
      <c r="AC42" s="79">
        <v>-17097.439999999999</v>
      </c>
      <c r="AD42" s="79">
        <v>16473.93</v>
      </c>
    </row>
    <row r="43" spans="2:30" x14ac:dyDescent="0.25">
      <c r="B43" s="84" t="s">
        <v>229</v>
      </c>
      <c r="C43" s="79">
        <v>-305.64</v>
      </c>
      <c r="G43" s="79">
        <v>-305.64</v>
      </c>
      <c r="H43" s="79">
        <v>-305.64</v>
      </c>
      <c r="I43" s="79">
        <v>-305.64</v>
      </c>
      <c r="J43" s="79">
        <v>-305.64</v>
      </c>
      <c r="K43" s="79">
        <v>-305.64</v>
      </c>
      <c r="L43" s="79">
        <v>-305.64</v>
      </c>
      <c r="M43" s="79">
        <v>-305.64</v>
      </c>
      <c r="N43" s="79">
        <v>-305.64</v>
      </c>
      <c r="O43" s="79">
        <v>-305.64</v>
      </c>
      <c r="P43" s="79">
        <v>-305.64</v>
      </c>
      <c r="U43" s="79">
        <v>-305.64</v>
      </c>
    </row>
    <row r="44" spans="2:30" x14ac:dyDescent="0.25">
      <c r="B44" s="84" t="s">
        <v>230</v>
      </c>
      <c r="C44" s="79">
        <v>-1373</v>
      </c>
      <c r="H44" s="79">
        <v>-1373</v>
      </c>
      <c r="I44" s="79">
        <v>-1373</v>
      </c>
      <c r="J44" s="79">
        <v>-1373</v>
      </c>
      <c r="K44" s="79">
        <v>-1373</v>
      </c>
      <c r="L44" s="79">
        <v>-1373</v>
      </c>
      <c r="M44" s="79">
        <v>-1373</v>
      </c>
      <c r="N44" s="79">
        <v>-1373</v>
      </c>
      <c r="O44" s="79">
        <v>-1373</v>
      </c>
      <c r="P44" s="79">
        <v>-1373</v>
      </c>
      <c r="V44" s="79">
        <v>-1373</v>
      </c>
    </row>
    <row r="45" spans="2:30" x14ac:dyDescent="0.25">
      <c r="B45" s="84" t="s">
        <v>283</v>
      </c>
    </row>
    <row r="46" spans="2:30" x14ac:dyDescent="0.25">
      <c r="B46" s="84" t="s">
        <v>284</v>
      </c>
    </row>
    <row r="47" spans="2:30" x14ac:dyDescent="0.25">
      <c r="B47" s="84" t="s">
        <v>113</v>
      </c>
      <c r="C47" s="79">
        <v>12007.41</v>
      </c>
      <c r="D47" s="79">
        <v>4245.13</v>
      </c>
      <c r="E47" s="79">
        <v>-5186.25</v>
      </c>
      <c r="F47" s="79">
        <v>-47594.29</v>
      </c>
      <c r="G47" s="79">
        <v>-39370.910000000003</v>
      </c>
      <c r="H47" s="79">
        <v>-36464.239999999998</v>
      </c>
      <c r="I47" s="79">
        <v>-37342.47</v>
      </c>
      <c r="J47" s="79">
        <v>-28466.46</v>
      </c>
      <c r="K47" s="79">
        <v>-18312.22</v>
      </c>
      <c r="L47" s="79">
        <v>-8062.35</v>
      </c>
      <c r="M47" s="79">
        <v>1241.58</v>
      </c>
      <c r="N47" s="79">
        <v>11936.5</v>
      </c>
      <c r="O47" s="79">
        <v>7762.28</v>
      </c>
      <c r="P47" s="79">
        <v>-17975.900000000001</v>
      </c>
      <c r="Q47" s="79">
        <v>11548.44</v>
      </c>
      <c r="R47" s="79">
        <v>4681.97</v>
      </c>
      <c r="S47" s="79">
        <v>-5186.25</v>
      </c>
      <c r="T47" s="79">
        <v>-42408.04</v>
      </c>
      <c r="U47" s="79">
        <v>8223.3799999999992</v>
      </c>
      <c r="V47" s="79">
        <v>2906.67</v>
      </c>
      <c r="W47" s="79">
        <v>-878.23</v>
      </c>
      <c r="X47" s="79">
        <v>8876.01</v>
      </c>
      <c r="Y47" s="79">
        <v>10154.24</v>
      </c>
      <c r="Z47" s="79">
        <v>10249.870000000001</v>
      </c>
      <c r="AA47" s="79">
        <v>9303.93</v>
      </c>
      <c r="AB47" s="79">
        <v>10694.92</v>
      </c>
      <c r="AC47" s="79">
        <v>-4174.22</v>
      </c>
      <c r="AD47" s="79">
        <v>-25738.18</v>
      </c>
    </row>
    <row r="48" spans="2:30" x14ac:dyDescent="0.25">
      <c r="B48" s="84" t="s">
        <v>112</v>
      </c>
      <c r="C48" s="79">
        <v>623141.36</v>
      </c>
      <c r="D48" s="79">
        <v>342798.94</v>
      </c>
      <c r="E48" s="79">
        <v>22831.74</v>
      </c>
      <c r="F48" s="79">
        <v>39109.18</v>
      </c>
      <c r="G48" s="79">
        <v>56772.53</v>
      </c>
      <c r="H48" s="79">
        <v>74262.8</v>
      </c>
      <c r="I48" s="79">
        <v>104117.97</v>
      </c>
      <c r="J48" s="79">
        <v>134699.34</v>
      </c>
      <c r="K48" s="79">
        <v>154523.20000000001</v>
      </c>
      <c r="L48" s="79">
        <v>194517.28</v>
      </c>
      <c r="M48" s="79">
        <v>221969.08</v>
      </c>
      <c r="N48" s="79">
        <v>249086.66</v>
      </c>
      <c r="O48" s="79">
        <v>280342.42</v>
      </c>
      <c r="P48" s="79">
        <v>319243.73</v>
      </c>
      <c r="Q48" s="79">
        <v>33789.99</v>
      </c>
      <c r="R48" s="79">
        <v>49889.51</v>
      </c>
      <c r="S48" s="79">
        <v>22831.74</v>
      </c>
      <c r="T48" s="79">
        <v>16277.44</v>
      </c>
      <c r="U48" s="79">
        <v>17663.349999999999</v>
      </c>
      <c r="V48" s="79">
        <v>17490.27</v>
      </c>
      <c r="W48" s="79">
        <v>29855.17</v>
      </c>
      <c r="X48" s="79">
        <v>30581.37</v>
      </c>
      <c r="Y48" s="79">
        <v>19823.86</v>
      </c>
      <c r="Z48" s="79">
        <v>39994.080000000002</v>
      </c>
      <c r="AA48" s="79">
        <v>27451.8</v>
      </c>
      <c r="AB48" s="79">
        <v>27117.58</v>
      </c>
      <c r="AC48" s="79">
        <v>31255.759999999998</v>
      </c>
      <c r="AD48" s="79">
        <v>38901.31</v>
      </c>
    </row>
    <row r="49" spans="2:30" x14ac:dyDescent="0.25">
      <c r="B49" s="84" t="s">
        <v>111</v>
      </c>
      <c r="C49" s="79">
        <v>-468002.45</v>
      </c>
      <c r="D49" s="79">
        <v>-235806.25</v>
      </c>
      <c r="E49" s="79">
        <v>-15632.96</v>
      </c>
      <c r="F49" s="79">
        <v>-21375.43</v>
      </c>
      <c r="G49" s="79">
        <v>-63770.53</v>
      </c>
      <c r="H49" s="79">
        <v>-74196.210000000006</v>
      </c>
      <c r="I49" s="79">
        <v>-80513.59</v>
      </c>
      <c r="J49" s="79">
        <v>-108804.91</v>
      </c>
      <c r="K49" s="79">
        <v>-126494.06</v>
      </c>
      <c r="L49" s="79">
        <v>-151848.26</v>
      </c>
      <c r="M49" s="79">
        <v>-198158.1</v>
      </c>
      <c r="N49" s="79">
        <v>-209547.61</v>
      </c>
      <c r="O49" s="79">
        <v>-232196.2</v>
      </c>
      <c r="P49" s="79">
        <v>-253096.89</v>
      </c>
      <c r="Q49" s="79">
        <v>-14378.72</v>
      </c>
      <c r="R49" s="79">
        <v>-28805.55</v>
      </c>
      <c r="S49" s="79">
        <v>-15632.96</v>
      </c>
      <c r="T49" s="79">
        <v>-5742.47</v>
      </c>
      <c r="U49" s="79">
        <v>-42395.1</v>
      </c>
      <c r="V49" s="79">
        <v>-10425.68</v>
      </c>
      <c r="W49" s="79">
        <v>-6317.38</v>
      </c>
      <c r="X49" s="79">
        <v>-28291.32</v>
      </c>
      <c r="Y49" s="79">
        <v>-17689.150000000001</v>
      </c>
      <c r="Z49" s="79">
        <v>-25354.2</v>
      </c>
      <c r="AA49" s="79">
        <v>-46309.84</v>
      </c>
      <c r="AB49" s="79">
        <v>-11389.51</v>
      </c>
      <c r="AC49" s="79">
        <v>-22648.59</v>
      </c>
      <c r="AD49" s="79">
        <v>-20900.689999999999</v>
      </c>
    </row>
    <row r="50" spans="2:30" x14ac:dyDescent="0.25">
      <c r="B50" s="84" t="s">
        <v>110</v>
      </c>
      <c r="C50" s="79">
        <v>-182649.41</v>
      </c>
      <c r="D50" s="79">
        <v>-94671.43</v>
      </c>
      <c r="E50" s="79">
        <v>-6.27</v>
      </c>
      <c r="F50" s="79">
        <v>-59702.84</v>
      </c>
      <c r="G50" s="79">
        <v>-59710.27</v>
      </c>
      <c r="H50" s="79">
        <v>-59715.55</v>
      </c>
      <c r="I50" s="79">
        <v>-52036.12</v>
      </c>
      <c r="J50" s="79">
        <v>-52036.12</v>
      </c>
      <c r="K50" s="79">
        <v>-52045.7</v>
      </c>
      <c r="L50" s="79">
        <v>-85355.75</v>
      </c>
      <c r="M50" s="79">
        <v>-85359.83</v>
      </c>
      <c r="N50" s="79">
        <v>-85359.83</v>
      </c>
      <c r="O50" s="79">
        <v>-87977.98</v>
      </c>
      <c r="P50" s="79">
        <v>-87732.2</v>
      </c>
      <c r="Q50" s="79">
        <v>-4.84</v>
      </c>
      <c r="R50" s="79">
        <v>-3.2</v>
      </c>
      <c r="S50" s="79">
        <v>-6.27</v>
      </c>
      <c r="T50" s="79">
        <v>-59696.57</v>
      </c>
      <c r="U50" s="79">
        <v>-7.43</v>
      </c>
      <c r="V50" s="79">
        <v>-5.28</v>
      </c>
      <c r="W50" s="79">
        <v>7679.43</v>
      </c>
      <c r="Y50" s="79">
        <v>-9.58</v>
      </c>
      <c r="Z50" s="79">
        <v>-33310.050000000003</v>
      </c>
      <c r="AA50" s="79">
        <v>-4.08</v>
      </c>
      <c r="AC50" s="79">
        <v>-2618.15</v>
      </c>
      <c r="AD50" s="79">
        <v>245.78</v>
      </c>
    </row>
    <row r="51" spans="2:30" x14ac:dyDescent="0.25">
      <c r="B51" s="84" t="s">
        <v>413</v>
      </c>
      <c r="P51" s="79">
        <v>-9409.52</v>
      </c>
      <c r="AD51" s="79">
        <v>-9409.52</v>
      </c>
    </row>
    <row r="52" spans="2:30" x14ac:dyDescent="0.25">
      <c r="B52" s="84" t="s">
        <v>109</v>
      </c>
      <c r="C52" s="79">
        <v>3114.23</v>
      </c>
      <c r="D52" s="79">
        <v>-274.86</v>
      </c>
      <c r="E52" s="79">
        <v>-98.4</v>
      </c>
      <c r="F52" s="79">
        <v>-1141.2</v>
      </c>
      <c r="G52" s="79">
        <v>-303.89</v>
      </c>
      <c r="H52" s="79">
        <v>-151.47999999999999</v>
      </c>
      <c r="I52" s="79">
        <v>-253.88</v>
      </c>
      <c r="J52" s="79">
        <v>65.31</v>
      </c>
      <c r="K52" s="79">
        <v>-304.68</v>
      </c>
      <c r="L52" s="79">
        <v>-302.88</v>
      </c>
      <c r="M52" s="79">
        <v>-114.49</v>
      </c>
      <c r="N52" s="79">
        <v>520.52</v>
      </c>
      <c r="O52" s="79">
        <v>3389.09</v>
      </c>
      <c r="P52" s="79">
        <v>-1209.81</v>
      </c>
      <c r="Q52" s="79">
        <v>1128.8</v>
      </c>
      <c r="R52" s="79">
        <v>-1177</v>
      </c>
      <c r="S52" s="79">
        <v>-98.4</v>
      </c>
      <c r="T52" s="79">
        <v>-1042.8</v>
      </c>
      <c r="U52" s="79">
        <v>837.31</v>
      </c>
      <c r="V52" s="79">
        <v>152.41</v>
      </c>
      <c r="W52" s="79">
        <v>-102.4</v>
      </c>
      <c r="X52" s="79">
        <v>319.19</v>
      </c>
      <c r="Y52" s="79">
        <v>-369.99</v>
      </c>
      <c r="Z52" s="79">
        <v>1.8</v>
      </c>
      <c r="AA52" s="79">
        <v>188.39</v>
      </c>
      <c r="AB52" s="79">
        <v>635.01</v>
      </c>
      <c r="AC52" s="79">
        <v>2868.57</v>
      </c>
      <c r="AD52" s="79">
        <v>-4598.8999999999996</v>
      </c>
    </row>
    <row r="53" spans="2:30" x14ac:dyDescent="0.25">
      <c r="B53" s="84" t="s">
        <v>108</v>
      </c>
      <c r="C53" s="79">
        <v>5482.18</v>
      </c>
      <c r="D53" s="79">
        <v>-33.520000000000003</v>
      </c>
      <c r="E53" s="79">
        <v>-122.44</v>
      </c>
      <c r="F53" s="79">
        <v>-730.7</v>
      </c>
      <c r="G53" s="79">
        <v>-306.38</v>
      </c>
      <c r="H53" s="79">
        <v>1063.52</v>
      </c>
      <c r="I53" s="79">
        <v>1844.1</v>
      </c>
      <c r="J53" s="79">
        <v>2156.34</v>
      </c>
      <c r="K53" s="79">
        <v>1956.46</v>
      </c>
      <c r="L53" s="79">
        <v>1693.62</v>
      </c>
      <c r="M53" s="79">
        <v>1895.31</v>
      </c>
      <c r="N53" s="79">
        <v>2453.83</v>
      </c>
      <c r="O53" s="79">
        <v>5515.7</v>
      </c>
      <c r="P53" s="79">
        <v>1279.48</v>
      </c>
      <c r="Q53" s="79">
        <v>1068.72</v>
      </c>
      <c r="R53" s="79">
        <v>-1154</v>
      </c>
      <c r="S53" s="79">
        <v>-122.44</v>
      </c>
      <c r="T53" s="79">
        <v>-608.26</v>
      </c>
      <c r="U53" s="79">
        <v>424.32</v>
      </c>
      <c r="V53" s="79">
        <v>1369.9</v>
      </c>
      <c r="W53" s="79">
        <v>780.58</v>
      </c>
      <c r="X53" s="79">
        <v>312.24</v>
      </c>
      <c r="Y53" s="79">
        <v>-199.88</v>
      </c>
      <c r="Z53" s="79">
        <v>-262.83999999999997</v>
      </c>
      <c r="AA53" s="79">
        <v>201.69</v>
      </c>
      <c r="AB53" s="79">
        <v>558.52</v>
      </c>
      <c r="AC53" s="79">
        <v>3061.87</v>
      </c>
      <c r="AD53" s="79">
        <v>-4236.22</v>
      </c>
    </row>
    <row r="54" spans="2:30" x14ac:dyDescent="0.25">
      <c r="B54" s="84" t="s">
        <v>107</v>
      </c>
      <c r="C54" s="79">
        <v>-1907.07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79">
        <v>0</v>
      </c>
      <c r="O54" s="79">
        <v>-1907.07</v>
      </c>
      <c r="P54" s="79">
        <v>0</v>
      </c>
      <c r="Q54" s="79">
        <v>0</v>
      </c>
      <c r="R54" s="79">
        <v>-0.2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79">
        <v>0</v>
      </c>
      <c r="AB54" s="79">
        <v>0</v>
      </c>
      <c r="AC54" s="79">
        <v>-1907.07</v>
      </c>
      <c r="AD54" s="79">
        <v>1907.07</v>
      </c>
    </row>
    <row r="55" spans="2:30" x14ac:dyDescent="0.25">
      <c r="B55" s="84" t="s">
        <v>231</v>
      </c>
      <c r="C55" s="79">
        <v>-10182.6</v>
      </c>
      <c r="D55" s="79">
        <v>-886.25</v>
      </c>
      <c r="M55" s="79">
        <v>-9296.35</v>
      </c>
      <c r="N55" s="79">
        <v>-9296.35</v>
      </c>
      <c r="O55" s="79">
        <v>-9296.35</v>
      </c>
      <c r="P55" s="79">
        <v>-9296.35</v>
      </c>
      <c r="AA55" s="79">
        <v>-9296.35</v>
      </c>
    </row>
    <row r="56" spans="2:30" x14ac:dyDescent="0.25">
      <c r="B56" s="84" t="s">
        <v>285</v>
      </c>
    </row>
    <row r="57" spans="2:30" x14ac:dyDescent="0.25">
      <c r="B57" s="84" t="s">
        <v>232</v>
      </c>
      <c r="C57" s="79">
        <v>80718.33</v>
      </c>
      <c r="D57" s="79">
        <v>80718.33</v>
      </c>
      <c r="R57" s="79">
        <v>80718.33</v>
      </c>
    </row>
    <row r="58" spans="2:30" x14ac:dyDescent="0.25">
      <c r="B58" s="84" t="s">
        <v>286</v>
      </c>
    </row>
    <row r="59" spans="2:30" x14ac:dyDescent="0.25">
      <c r="B59" s="84" t="s">
        <v>106</v>
      </c>
      <c r="C59" s="79">
        <v>1432157.38</v>
      </c>
      <c r="D59" s="79">
        <v>-0.1</v>
      </c>
      <c r="E59" s="79">
        <v>114054.47</v>
      </c>
      <c r="F59" s="79">
        <v>195892.94</v>
      </c>
      <c r="G59" s="79">
        <v>284109.39</v>
      </c>
      <c r="H59" s="79">
        <v>373674.63</v>
      </c>
      <c r="I59" s="79">
        <v>522870.16</v>
      </c>
      <c r="J59" s="79">
        <v>676765.93</v>
      </c>
      <c r="K59" s="79">
        <v>781410.59</v>
      </c>
      <c r="L59" s="79">
        <v>982294.63</v>
      </c>
      <c r="M59" s="79">
        <v>1135979.97</v>
      </c>
      <c r="N59" s="79">
        <v>1275913.6299999999</v>
      </c>
      <c r="O59" s="79">
        <v>1432157.48</v>
      </c>
      <c r="P59" s="79">
        <v>1628165.23</v>
      </c>
      <c r="Q59" s="79">
        <v>168939.75</v>
      </c>
      <c r="R59" s="79">
        <v>-1472391.38</v>
      </c>
      <c r="S59" s="79">
        <v>114054.47</v>
      </c>
      <c r="T59" s="79">
        <v>81838.47</v>
      </c>
      <c r="U59" s="79">
        <v>88216.45</v>
      </c>
      <c r="V59" s="79">
        <v>89565.24</v>
      </c>
      <c r="W59" s="79">
        <v>149195.53</v>
      </c>
      <c r="X59" s="79">
        <v>153895.76999999999</v>
      </c>
      <c r="Y59" s="79">
        <v>104644.66</v>
      </c>
      <c r="Z59" s="79">
        <v>200884.04</v>
      </c>
      <c r="AA59" s="79">
        <v>153685.34</v>
      </c>
      <c r="AB59" s="79">
        <v>139933.66</v>
      </c>
      <c r="AC59" s="79">
        <v>156243.85</v>
      </c>
      <c r="AD59" s="79">
        <v>196007.75</v>
      </c>
    </row>
    <row r="60" spans="2:30" x14ac:dyDescent="0.25">
      <c r="B60" s="84" t="s">
        <v>105</v>
      </c>
      <c r="C60" s="79">
        <v>-25804.79</v>
      </c>
      <c r="D60" s="79">
        <v>0</v>
      </c>
      <c r="E60" s="79">
        <v>-2973.66</v>
      </c>
      <c r="F60" s="79">
        <v>-5721.84</v>
      </c>
      <c r="G60" s="79">
        <v>-8173.46</v>
      </c>
      <c r="H60" s="79">
        <v>-10268.84</v>
      </c>
      <c r="I60" s="79">
        <v>-11206.59</v>
      </c>
      <c r="J60" s="79">
        <v>-13811.96</v>
      </c>
      <c r="K60" s="79">
        <v>-14907.23</v>
      </c>
      <c r="L60" s="79">
        <v>-16864.05</v>
      </c>
      <c r="M60" s="79">
        <v>-19809.330000000002</v>
      </c>
      <c r="N60" s="79">
        <v>-23797.72</v>
      </c>
      <c r="O60" s="79">
        <v>-25804.79</v>
      </c>
      <c r="P60" s="79">
        <v>-29550.32</v>
      </c>
      <c r="Q60" s="79">
        <v>-4005.3</v>
      </c>
      <c r="R60" s="79">
        <v>26019.5</v>
      </c>
      <c r="S60" s="79">
        <v>-2973.66</v>
      </c>
      <c r="T60" s="79">
        <v>-2748.18</v>
      </c>
      <c r="U60" s="79">
        <v>-2451.62</v>
      </c>
      <c r="V60" s="79">
        <v>-2095.38</v>
      </c>
      <c r="W60" s="79">
        <v>-937.75</v>
      </c>
      <c r="X60" s="79">
        <v>-2605.37</v>
      </c>
      <c r="Y60" s="79">
        <v>-1095.27</v>
      </c>
      <c r="Z60" s="79">
        <v>-1956.82</v>
      </c>
      <c r="AA60" s="79">
        <v>-2945.28</v>
      </c>
      <c r="AB60" s="79">
        <v>-3988.39</v>
      </c>
      <c r="AC60" s="79">
        <v>-2007.07</v>
      </c>
      <c r="AD60" s="79">
        <v>-3745.53</v>
      </c>
    </row>
    <row r="61" spans="2:30" x14ac:dyDescent="0.25">
      <c r="B61" s="84" t="s">
        <v>104</v>
      </c>
      <c r="C61" s="79">
        <v>-31451.82</v>
      </c>
      <c r="D61" s="79">
        <v>0</v>
      </c>
      <c r="E61" s="79">
        <v>-2456.41</v>
      </c>
      <c r="F61" s="79">
        <v>-4091.12</v>
      </c>
      <c r="G61" s="79">
        <v>-6720.75</v>
      </c>
      <c r="H61" s="79">
        <v>-8718.25</v>
      </c>
      <c r="I61" s="79">
        <v>-12291.09</v>
      </c>
      <c r="J61" s="79">
        <v>-14950.12</v>
      </c>
      <c r="K61" s="79">
        <v>-18389.05</v>
      </c>
      <c r="L61" s="79">
        <v>-21773.9</v>
      </c>
      <c r="M61" s="79">
        <v>-27081.99</v>
      </c>
      <c r="N61" s="79">
        <v>-29151.18</v>
      </c>
      <c r="O61" s="79">
        <v>-31451.82</v>
      </c>
      <c r="P61" s="79">
        <v>-36281.97</v>
      </c>
      <c r="Q61" s="79">
        <v>-2665.17</v>
      </c>
      <c r="R61" s="79">
        <v>28379.87</v>
      </c>
      <c r="S61" s="79">
        <v>-2456.41</v>
      </c>
      <c r="T61" s="79">
        <v>-1634.71</v>
      </c>
      <c r="U61" s="79">
        <v>-2629.63</v>
      </c>
      <c r="V61" s="79">
        <v>-1997.5</v>
      </c>
      <c r="W61" s="79">
        <v>-3572.84</v>
      </c>
      <c r="X61" s="79">
        <v>-2659.03</v>
      </c>
      <c r="Y61" s="79">
        <v>-3438.93</v>
      </c>
      <c r="Z61" s="79">
        <v>-3384.85</v>
      </c>
      <c r="AA61" s="79">
        <v>-5308.09</v>
      </c>
      <c r="AB61" s="79">
        <v>-2069.19</v>
      </c>
      <c r="AC61" s="79">
        <v>-2300.64</v>
      </c>
      <c r="AD61" s="79">
        <v>-4830.1499999999996</v>
      </c>
    </row>
    <row r="62" spans="2:30" x14ac:dyDescent="0.25">
      <c r="B62" s="84" t="s">
        <v>131</v>
      </c>
      <c r="C62" s="79">
        <v>-891120.09</v>
      </c>
      <c r="D62" s="79">
        <v>0</v>
      </c>
      <c r="E62" s="79">
        <v>-71570.42</v>
      </c>
      <c r="F62" s="79">
        <v>-120775.23</v>
      </c>
      <c r="G62" s="79">
        <v>-174633.47</v>
      </c>
      <c r="H62" s="79">
        <v>-228915.19</v>
      </c>
      <c r="I62" s="79">
        <v>-324071.51</v>
      </c>
      <c r="J62" s="79">
        <v>-425219.51</v>
      </c>
      <c r="K62" s="79">
        <v>-487318.51</v>
      </c>
      <c r="L62" s="79">
        <v>-616999.51</v>
      </c>
      <c r="M62" s="79">
        <v>-707074.99</v>
      </c>
      <c r="N62" s="79">
        <v>-790822.36</v>
      </c>
      <c r="O62" s="79">
        <v>-891120.09</v>
      </c>
      <c r="P62" s="79">
        <v>-1006412.12</v>
      </c>
      <c r="Q62" s="79">
        <v>-112637.69</v>
      </c>
      <c r="R62" s="79">
        <v>954099.05</v>
      </c>
      <c r="S62" s="79">
        <v>-71570.42</v>
      </c>
      <c r="T62" s="79">
        <v>-49204.81</v>
      </c>
      <c r="U62" s="79">
        <v>-53858.239999999998</v>
      </c>
      <c r="V62" s="79">
        <v>-54281.72</v>
      </c>
      <c r="W62" s="79">
        <v>-95156.32</v>
      </c>
      <c r="X62" s="79">
        <v>-101148</v>
      </c>
      <c r="Y62" s="79">
        <v>-62099</v>
      </c>
      <c r="Z62" s="79">
        <v>-129681</v>
      </c>
      <c r="AA62" s="79">
        <v>-90075.48</v>
      </c>
      <c r="AB62" s="79">
        <v>-83747.37</v>
      </c>
      <c r="AC62" s="79">
        <v>-100297.73</v>
      </c>
      <c r="AD62" s="79">
        <v>-115292.03</v>
      </c>
    </row>
    <row r="63" spans="2:30" x14ac:dyDescent="0.25">
      <c r="B63" s="84" t="s">
        <v>233</v>
      </c>
      <c r="C63" s="79">
        <v>0</v>
      </c>
      <c r="D63" s="79">
        <v>0</v>
      </c>
      <c r="P63" s="79">
        <v>31593.25</v>
      </c>
      <c r="R63" s="79">
        <v>0</v>
      </c>
      <c r="AD63" s="79">
        <v>31593.25</v>
      </c>
    </row>
    <row r="64" spans="2:30" x14ac:dyDescent="0.25">
      <c r="B64" s="84" t="s">
        <v>103</v>
      </c>
      <c r="C64" s="79">
        <v>-6451.07</v>
      </c>
      <c r="D64" s="79">
        <v>0</v>
      </c>
      <c r="E64" s="79">
        <v>-565.13</v>
      </c>
      <c r="F64" s="79">
        <v>-973.87</v>
      </c>
      <c r="G64" s="79">
        <v>-1444.86</v>
      </c>
      <c r="H64" s="79">
        <v>-1662.16</v>
      </c>
      <c r="I64" s="79">
        <v>-2105.85</v>
      </c>
      <c r="J64" s="79">
        <v>-2419.31</v>
      </c>
      <c r="K64" s="79">
        <v>-2731.24</v>
      </c>
      <c r="L64" s="79">
        <v>-3941.87</v>
      </c>
      <c r="M64" s="79">
        <v>-4839.1099999999997</v>
      </c>
      <c r="N64" s="79">
        <v>-5947.14</v>
      </c>
      <c r="O64" s="79">
        <v>-6451.07</v>
      </c>
      <c r="P64" s="79">
        <v>-6687.38</v>
      </c>
      <c r="Q64" s="79">
        <v>-143.94999999999999</v>
      </c>
      <c r="R64" s="79">
        <v>5047.3599999999997</v>
      </c>
      <c r="S64" s="79">
        <v>-565.13</v>
      </c>
      <c r="T64" s="79">
        <v>-408.74</v>
      </c>
      <c r="U64" s="79">
        <v>-470.99</v>
      </c>
      <c r="V64" s="79">
        <v>-217.3</v>
      </c>
      <c r="W64" s="79">
        <v>-443.69</v>
      </c>
      <c r="X64" s="79">
        <v>-313.45999999999998</v>
      </c>
      <c r="Y64" s="79">
        <v>-311.93</v>
      </c>
      <c r="Z64" s="79">
        <v>-1210.6300000000001</v>
      </c>
      <c r="AA64" s="79">
        <v>-897.24</v>
      </c>
      <c r="AB64" s="79">
        <v>-1108.03</v>
      </c>
      <c r="AC64" s="79">
        <v>-503.93</v>
      </c>
      <c r="AD64" s="79">
        <v>-236.31</v>
      </c>
    </row>
    <row r="65" spans="2:30" x14ac:dyDescent="0.25">
      <c r="B65" s="84" t="s">
        <v>102</v>
      </c>
      <c r="C65" s="79">
        <v>-19913.72</v>
      </c>
      <c r="D65" s="79">
        <v>0</v>
      </c>
      <c r="E65" s="79">
        <v>-1585.42</v>
      </c>
      <c r="F65" s="79">
        <v>-3193.92</v>
      </c>
      <c r="G65" s="79">
        <v>-4794.07</v>
      </c>
      <c r="H65" s="79">
        <v>-6349.27</v>
      </c>
      <c r="I65" s="79">
        <v>-8377.27</v>
      </c>
      <c r="J65" s="79">
        <v>-10433.02</v>
      </c>
      <c r="K65" s="79">
        <v>-12095.02</v>
      </c>
      <c r="L65" s="79">
        <v>-14765.99</v>
      </c>
      <c r="M65" s="79">
        <v>-16371.19</v>
      </c>
      <c r="N65" s="79">
        <v>-18088.490000000002</v>
      </c>
      <c r="O65" s="79">
        <v>-19913.72</v>
      </c>
      <c r="P65" s="79">
        <v>-21519.02</v>
      </c>
      <c r="Q65" s="79">
        <v>-1557.3</v>
      </c>
      <c r="R65" s="79">
        <v>17378.2</v>
      </c>
      <c r="S65" s="79">
        <v>-1585.42</v>
      </c>
      <c r="T65" s="79">
        <v>-1608.5</v>
      </c>
      <c r="U65" s="79">
        <v>-1600.15</v>
      </c>
      <c r="V65" s="79">
        <v>-1555.2</v>
      </c>
      <c r="W65" s="79">
        <v>-2028</v>
      </c>
      <c r="X65" s="79">
        <v>-2055.75</v>
      </c>
      <c r="Y65" s="79">
        <v>-1662</v>
      </c>
      <c r="Z65" s="79">
        <v>-2670.97</v>
      </c>
      <c r="AA65" s="79">
        <v>-1605.2</v>
      </c>
      <c r="AB65" s="79">
        <v>-1717.3</v>
      </c>
      <c r="AC65" s="79">
        <v>-1825.23</v>
      </c>
      <c r="AD65" s="79">
        <v>-1605.3</v>
      </c>
    </row>
    <row r="66" spans="2:30" x14ac:dyDescent="0.25">
      <c r="B66" s="84" t="s">
        <v>130</v>
      </c>
      <c r="C66" s="79">
        <v>-7321.29</v>
      </c>
      <c r="D66" s="79">
        <v>0</v>
      </c>
      <c r="E66" s="79">
        <v>-1662.46</v>
      </c>
      <c r="F66" s="79">
        <v>-3113.82</v>
      </c>
      <c r="G66" s="79">
        <v>-3113.82</v>
      </c>
      <c r="H66" s="79">
        <v>-4528.82</v>
      </c>
      <c r="I66" s="79">
        <v>-4528.82</v>
      </c>
      <c r="J66" s="79">
        <v>-4528.82</v>
      </c>
      <c r="K66" s="79">
        <v>-5969.46</v>
      </c>
      <c r="L66" s="79">
        <v>-7221.29</v>
      </c>
      <c r="M66" s="79">
        <v>-7221.29</v>
      </c>
      <c r="N66" s="79">
        <v>-7221.29</v>
      </c>
      <c r="O66" s="79">
        <v>-7321.29</v>
      </c>
      <c r="P66" s="79">
        <v>-7321.29</v>
      </c>
      <c r="Q66" s="79">
        <v>-466.67</v>
      </c>
      <c r="R66" s="79">
        <v>6546.12</v>
      </c>
      <c r="S66" s="79">
        <v>-1662.46</v>
      </c>
      <c r="T66" s="79">
        <v>-1451.36</v>
      </c>
      <c r="V66" s="79">
        <v>-1415</v>
      </c>
      <c r="Y66" s="79">
        <v>-1440.64</v>
      </c>
      <c r="Z66" s="79">
        <v>-1251.83</v>
      </c>
      <c r="AC66" s="79">
        <v>-100</v>
      </c>
    </row>
    <row r="67" spans="2:30" x14ac:dyDescent="0.25">
      <c r="B67" s="84" t="s">
        <v>101</v>
      </c>
      <c r="C67" s="79">
        <v>-109374.22</v>
      </c>
      <c r="D67" s="79">
        <v>0</v>
      </c>
      <c r="E67" s="79">
        <v>-8540.18</v>
      </c>
      <c r="F67" s="79">
        <v>-16923.38</v>
      </c>
      <c r="G67" s="79">
        <v>-25893.43</v>
      </c>
      <c r="H67" s="79">
        <v>-36482</v>
      </c>
      <c r="I67" s="79">
        <v>-45970.02</v>
      </c>
      <c r="J67" s="79">
        <v>-59502.91</v>
      </c>
      <c r="K67" s="79">
        <v>-66067.89</v>
      </c>
      <c r="L67" s="79">
        <v>-76021.789999999994</v>
      </c>
      <c r="M67" s="79">
        <v>-87782.05</v>
      </c>
      <c r="N67" s="79">
        <v>-98143</v>
      </c>
      <c r="O67" s="79">
        <v>-109374.22</v>
      </c>
      <c r="P67" s="79">
        <v>-115724.77</v>
      </c>
      <c r="Q67" s="79">
        <v>-13292.28</v>
      </c>
      <c r="R67" s="79">
        <v>105094.82</v>
      </c>
      <c r="S67" s="79">
        <v>-8540.18</v>
      </c>
      <c r="T67" s="79">
        <v>-8383.2000000000007</v>
      </c>
      <c r="U67" s="79">
        <v>-8970.0499999999993</v>
      </c>
      <c r="V67" s="79">
        <v>-10588.57</v>
      </c>
      <c r="W67" s="79">
        <v>-9488.02</v>
      </c>
      <c r="X67" s="79">
        <v>-13532.89</v>
      </c>
      <c r="Y67" s="79">
        <v>-6564.98</v>
      </c>
      <c r="Z67" s="79">
        <v>-9953.9</v>
      </c>
      <c r="AA67" s="79">
        <v>-11760.26</v>
      </c>
      <c r="AB67" s="79">
        <v>-10360.950000000001</v>
      </c>
      <c r="AC67" s="79">
        <v>-11231.22</v>
      </c>
      <c r="AD67" s="79">
        <v>-6350.55</v>
      </c>
    </row>
    <row r="68" spans="2:30" x14ac:dyDescent="0.25">
      <c r="B68" s="84" t="s">
        <v>287</v>
      </c>
    </row>
    <row r="69" spans="2:30" x14ac:dyDescent="0.25">
      <c r="B69" s="84" t="s">
        <v>288</v>
      </c>
    </row>
    <row r="70" spans="2:30" x14ac:dyDescent="0.25">
      <c r="B70" s="84" t="s">
        <v>234</v>
      </c>
      <c r="C70" s="79">
        <v>-8250</v>
      </c>
      <c r="D70" s="79">
        <v>0</v>
      </c>
      <c r="E70" s="79">
        <v>-750</v>
      </c>
      <c r="F70" s="79">
        <v>-1500</v>
      </c>
      <c r="G70" s="79">
        <v>-2250</v>
      </c>
      <c r="H70" s="79">
        <v>-3000</v>
      </c>
      <c r="I70" s="79">
        <v>-3750</v>
      </c>
      <c r="J70" s="79">
        <v>-4500</v>
      </c>
      <c r="K70" s="79">
        <v>-5250</v>
      </c>
      <c r="L70" s="79">
        <v>-6000</v>
      </c>
      <c r="M70" s="79">
        <v>-6750</v>
      </c>
      <c r="N70" s="79">
        <v>-7500</v>
      </c>
      <c r="O70" s="79">
        <v>-8250</v>
      </c>
      <c r="P70" s="79">
        <v>-4499.7700000000004</v>
      </c>
      <c r="Q70" s="79">
        <v>-750</v>
      </c>
      <c r="R70" s="79">
        <v>8250</v>
      </c>
      <c r="S70" s="79">
        <v>-750</v>
      </c>
      <c r="T70" s="79">
        <v>-750</v>
      </c>
      <c r="U70" s="79">
        <v>-750</v>
      </c>
      <c r="V70" s="79">
        <v>-750</v>
      </c>
      <c r="W70" s="79">
        <v>-750</v>
      </c>
      <c r="X70" s="79">
        <v>-750</v>
      </c>
      <c r="Y70" s="79">
        <v>-750</v>
      </c>
      <c r="Z70" s="79">
        <v>-750</v>
      </c>
      <c r="AA70" s="79">
        <v>-750</v>
      </c>
      <c r="AB70" s="79">
        <v>-750</v>
      </c>
      <c r="AC70" s="79">
        <v>-750</v>
      </c>
      <c r="AD70" s="79">
        <v>3750.23</v>
      </c>
    </row>
    <row r="71" spans="2:30" x14ac:dyDescent="0.25">
      <c r="B71" s="84" t="s">
        <v>129</v>
      </c>
      <c r="C71" s="79">
        <v>-28655.279999999999</v>
      </c>
      <c r="D71" s="79">
        <v>0</v>
      </c>
      <c r="E71" s="79">
        <v>-2283.17</v>
      </c>
      <c r="F71" s="79">
        <v>-3925.28</v>
      </c>
      <c r="G71" s="79">
        <v>-5691.61</v>
      </c>
      <c r="H71" s="79">
        <v>-7483.51</v>
      </c>
      <c r="I71" s="79">
        <v>-10469.02</v>
      </c>
      <c r="J71" s="79">
        <v>-13547.02</v>
      </c>
      <c r="K71" s="79">
        <v>-15640.02</v>
      </c>
      <c r="L71" s="79">
        <v>-19658.02</v>
      </c>
      <c r="M71" s="79">
        <v>-22731.73</v>
      </c>
      <c r="N71" s="79">
        <v>-25530.400000000001</v>
      </c>
      <c r="O71" s="79">
        <v>-28655.279999999999</v>
      </c>
      <c r="P71" s="79">
        <v>-32468.44</v>
      </c>
      <c r="Q71" s="79">
        <v>-3378.99</v>
      </c>
      <c r="R71" s="79">
        <v>29476.61</v>
      </c>
      <c r="S71" s="79">
        <v>-2283.17</v>
      </c>
      <c r="T71" s="79">
        <v>-1642.11</v>
      </c>
      <c r="U71" s="79">
        <v>-1766.33</v>
      </c>
      <c r="V71" s="79">
        <v>-1791.9</v>
      </c>
      <c r="W71" s="79">
        <v>-2985.51</v>
      </c>
      <c r="X71" s="79">
        <v>-3078</v>
      </c>
      <c r="Y71" s="79">
        <v>-2093</v>
      </c>
      <c r="Z71" s="79">
        <v>-4018</v>
      </c>
      <c r="AA71" s="79">
        <v>-3073.71</v>
      </c>
      <c r="AB71" s="79">
        <v>-2798.67</v>
      </c>
      <c r="AC71" s="79">
        <v>-3124.88</v>
      </c>
      <c r="AD71" s="79">
        <v>-3813.16</v>
      </c>
    </row>
    <row r="72" spans="2:30" x14ac:dyDescent="0.25">
      <c r="B72" s="84" t="s">
        <v>164</v>
      </c>
      <c r="C72" s="79">
        <v>-255.37</v>
      </c>
      <c r="D72" s="79">
        <v>0</v>
      </c>
      <c r="N72" s="79">
        <v>-255.37</v>
      </c>
      <c r="O72" s="79">
        <v>-255.37</v>
      </c>
      <c r="P72" s="79">
        <v>-255.37</v>
      </c>
      <c r="R72" s="79">
        <v>714.81</v>
      </c>
      <c r="AB72" s="79">
        <v>-255.37</v>
      </c>
    </row>
    <row r="73" spans="2:30" x14ac:dyDescent="0.25">
      <c r="B73" s="84" t="s">
        <v>100</v>
      </c>
      <c r="C73" s="79">
        <v>-9716</v>
      </c>
      <c r="D73" s="79">
        <v>0</v>
      </c>
      <c r="E73" s="79">
        <v>-1356.94</v>
      </c>
      <c r="F73" s="79">
        <v>-2279.31</v>
      </c>
      <c r="G73" s="79">
        <v>-2531.33</v>
      </c>
      <c r="H73" s="79">
        <v>-3420.21</v>
      </c>
      <c r="I73" s="79">
        <v>-3904.78</v>
      </c>
      <c r="J73" s="79">
        <v>-5319.62</v>
      </c>
      <c r="K73" s="79">
        <v>-6038.75</v>
      </c>
      <c r="L73" s="79">
        <v>-6332.98</v>
      </c>
      <c r="M73" s="79">
        <v>-8143.65</v>
      </c>
      <c r="N73" s="79">
        <v>-8634.23</v>
      </c>
      <c r="O73" s="79">
        <v>-9716</v>
      </c>
      <c r="P73" s="79">
        <v>-10403.16</v>
      </c>
      <c r="Q73" s="79">
        <v>-984.21</v>
      </c>
      <c r="R73" s="79">
        <v>7805.72</v>
      </c>
      <c r="S73" s="79">
        <v>-1356.94</v>
      </c>
      <c r="T73" s="79">
        <v>-922.37</v>
      </c>
      <c r="U73" s="79">
        <v>-252.02</v>
      </c>
      <c r="V73" s="79">
        <v>-888.88</v>
      </c>
      <c r="W73" s="79">
        <v>-484.57</v>
      </c>
      <c r="X73" s="79">
        <v>-1414.84</v>
      </c>
      <c r="Y73" s="79">
        <v>-719.13</v>
      </c>
      <c r="Z73" s="79">
        <v>-294.23</v>
      </c>
      <c r="AA73" s="79">
        <v>-1810.67</v>
      </c>
      <c r="AB73" s="79">
        <v>-490.58</v>
      </c>
      <c r="AC73" s="79">
        <v>-1081.77</v>
      </c>
      <c r="AD73" s="79">
        <v>-687.16</v>
      </c>
    </row>
    <row r="74" spans="2:30" x14ac:dyDescent="0.25">
      <c r="B74" s="84" t="s">
        <v>128</v>
      </c>
      <c r="C74" s="79">
        <v>-385</v>
      </c>
      <c r="D74" s="79">
        <v>0</v>
      </c>
      <c r="E74" s="79">
        <v>-35</v>
      </c>
      <c r="F74" s="79">
        <v>-70</v>
      </c>
      <c r="G74" s="79">
        <v>-105</v>
      </c>
      <c r="H74" s="79">
        <v>-140</v>
      </c>
      <c r="I74" s="79">
        <v>-175</v>
      </c>
      <c r="J74" s="79">
        <v>-210</v>
      </c>
      <c r="K74" s="79">
        <v>-245</v>
      </c>
      <c r="L74" s="79">
        <v>-280</v>
      </c>
      <c r="M74" s="79">
        <v>-315</v>
      </c>
      <c r="N74" s="79">
        <v>-350</v>
      </c>
      <c r="O74" s="79">
        <v>-385</v>
      </c>
      <c r="P74" s="79">
        <v>0</v>
      </c>
      <c r="Q74" s="79">
        <v>-150</v>
      </c>
      <c r="R74" s="79">
        <v>1650</v>
      </c>
      <c r="S74" s="79">
        <v>-35</v>
      </c>
      <c r="T74" s="79">
        <v>-35</v>
      </c>
      <c r="U74" s="79">
        <v>-35</v>
      </c>
      <c r="V74" s="79">
        <v>-35</v>
      </c>
      <c r="W74" s="79">
        <v>-35</v>
      </c>
      <c r="X74" s="79">
        <v>-35</v>
      </c>
      <c r="Y74" s="79">
        <v>-35</v>
      </c>
      <c r="Z74" s="79">
        <v>-35</v>
      </c>
      <c r="AA74" s="79">
        <v>-35</v>
      </c>
      <c r="AB74" s="79">
        <v>-35</v>
      </c>
      <c r="AC74" s="79">
        <v>-35</v>
      </c>
      <c r="AD74" s="79">
        <v>385</v>
      </c>
    </row>
    <row r="75" spans="2:30" x14ac:dyDescent="0.25">
      <c r="B75" s="84" t="s">
        <v>127</v>
      </c>
      <c r="C75" s="79">
        <v>-10120</v>
      </c>
      <c r="D75" s="79">
        <v>0</v>
      </c>
      <c r="E75" s="79">
        <v>-920</v>
      </c>
      <c r="F75" s="79">
        <v>-1840</v>
      </c>
      <c r="G75" s="79">
        <v>-2760</v>
      </c>
      <c r="H75" s="79">
        <v>-3680</v>
      </c>
      <c r="I75" s="79">
        <v>-4600</v>
      </c>
      <c r="J75" s="79">
        <v>-5520</v>
      </c>
      <c r="K75" s="79">
        <v>-6440</v>
      </c>
      <c r="L75" s="79">
        <v>-7360</v>
      </c>
      <c r="M75" s="79">
        <v>-8280</v>
      </c>
      <c r="N75" s="79">
        <v>-9200</v>
      </c>
      <c r="O75" s="79">
        <v>-10120</v>
      </c>
      <c r="P75" s="79">
        <v>-8412.06</v>
      </c>
      <c r="Q75" s="79">
        <v>-950</v>
      </c>
      <c r="R75" s="79">
        <v>10450</v>
      </c>
      <c r="S75" s="79">
        <v>-920</v>
      </c>
      <c r="T75" s="79">
        <v>-920</v>
      </c>
      <c r="U75" s="79">
        <v>-920</v>
      </c>
      <c r="V75" s="79">
        <v>-920</v>
      </c>
      <c r="W75" s="79">
        <v>-920</v>
      </c>
      <c r="X75" s="79">
        <v>-920</v>
      </c>
      <c r="Y75" s="79">
        <v>-920</v>
      </c>
      <c r="Z75" s="79">
        <v>-920</v>
      </c>
      <c r="AA75" s="79">
        <v>-920</v>
      </c>
      <c r="AB75" s="79">
        <v>-920</v>
      </c>
      <c r="AC75" s="79">
        <v>-920</v>
      </c>
      <c r="AD75" s="79">
        <v>1707.94</v>
      </c>
    </row>
    <row r="76" spans="2:30" x14ac:dyDescent="0.25">
      <c r="B76" s="84" t="s">
        <v>126</v>
      </c>
      <c r="C76" s="79">
        <v>-82500</v>
      </c>
      <c r="D76" s="79">
        <v>0</v>
      </c>
      <c r="E76" s="79">
        <v>-7500</v>
      </c>
      <c r="F76" s="79">
        <v>-15000</v>
      </c>
      <c r="G76" s="79">
        <v>-22500</v>
      </c>
      <c r="H76" s="79">
        <v>-30000</v>
      </c>
      <c r="I76" s="79">
        <v>-37500</v>
      </c>
      <c r="J76" s="79">
        <v>-45000</v>
      </c>
      <c r="K76" s="79">
        <v>-52500</v>
      </c>
      <c r="L76" s="79">
        <v>-60000</v>
      </c>
      <c r="M76" s="79">
        <v>-67500</v>
      </c>
      <c r="N76" s="79">
        <v>-75000</v>
      </c>
      <c r="O76" s="79">
        <v>-82500</v>
      </c>
      <c r="P76" s="79">
        <v>-84004.79</v>
      </c>
      <c r="Q76" s="79">
        <v>-7025</v>
      </c>
      <c r="R76" s="79">
        <v>77275</v>
      </c>
      <c r="S76" s="79">
        <v>-7500</v>
      </c>
      <c r="T76" s="79">
        <v>-7500</v>
      </c>
      <c r="U76" s="79">
        <v>-7500</v>
      </c>
      <c r="V76" s="79">
        <v>-7500</v>
      </c>
      <c r="W76" s="79">
        <v>-7500</v>
      </c>
      <c r="X76" s="79">
        <v>-7500</v>
      </c>
      <c r="Y76" s="79">
        <v>-7500</v>
      </c>
      <c r="Z76" s="79">
        <v>-7500</v>
      </c>
      <c r="AA76" s="79">
        <v>-7500</v>
      </c>
      <c r="AB76" s="79">
        <v>-7500</v>
      </c>
      <c r="AC76" s="79">
        <v>-7500</v>
      </c>
      <c r="AD76" s="79">
        <v>-1504.79</v>
      </c>
    </row>
    <row r="77" spans="2:30" x14ac:dyDescent="0.25">
      <c r="B77" s="84" t="s">
        <v>99</v>
      </c>
      <c r="C77" s="79">
        <v>-15386.87</v>
      </c>
      <c r="D77" s="79">
        <v>0</v>
      </c>
      <c r="E77" s="79">
        <v>-1334.04</v>
      </c>
      <c r="F77" s="79">
        <v>-2838.78</v>
      </c>
      <c r="G77" s="79">
        <v>-4169.79</v>
      </c>
      <c r="H77" s="79">
        <v>-5500.8</v>
      </c>
      <c r="I77" s="79">
        <v>-6831.81</v>
      </c>
      <c r="J77" s="79">
        <v>-8162.82</v>
      </c>
      <c r="K77" s="79">
        <v>-9493.83</v>
      </c>
      <c r="L77" s="79">
        <v>-10824.84</v>
      </c>
      <c r="M77" s="79">
        <v>-12155.85</v>
      </c>
      <c r="N77" s="79">
        <v>-13486.86</v>
      </c>
      <c r="O77" s="79">
        <v>-15386.87</v>
      </c>
      <c r="P77" s="79">
        <v>-16717.88</v>
      </c>
      <c r="Q77" s="79">
        <v>-1903.04</v>
      </c>
      <c r="R77" s="79">
        <v>16253</v>
      </c>
      <c r="S77" s="79">
        <v>-1334.04</v>
      </c>
      <c r="T77" s="79">
        <v>-1504.74</v>
      </c>
      <c r="U77" s="79">
        <v>-1331.01</v>
      </c>
      <c r="V77" s="79">
        <v>-1331.01</v>
      </c>
      <c r="W77" s="79">
        <v>-1331.01</v>
      </c>
      <c r="X77" s="79">
        <v>-1331.01</v>
      </c>
      <c r="Y77" s="79">
        <v>-1331.01</v>
      </c>
      <c r="Z77" s="79">
        <v>-1331.01</v>
      </c>
      <c r="AA77" s="79">
        <v>-1331.01</v>
      </c>
      <c r="AB77" s="79">
        <v>-1331.01</v>
      </c>
      <c r="AC77" s="79">
        <v>-1900.01</v>
      </c>
      <c r="AD77" s="79">
        <v>-1331.01</v>
      </c>
    </row>
    <row r="78" spans="2:30" x14ac:dyDescent="0.25">
      <c r="B78" s="84" t="s">
        <v>322</v>
      </c>
    </row>
    <row r="79" spans="2:30" x14ac:dyDescent="0.25">
      <c r="B79" s="84">
        <v>7604</v>
      </c>
    </row>
    <row r="80" spans="2:30" x14ac:dyDescent="0.25">
      <c r="B80" s="84" t="s">
        <v>323</v>
      </c>
    </row>
    <row r="81" spans="2:30" x14ac:dyDescent="0.25">
      <c r="B81" s="84" t="s">
        <v>207</v>
      </c>
      <c r="C81" s="79">
        <v>-0.01</v>
      </c>
      <c r="D81" s="79">
        <v>0</v>
      </c>
      <c r="N81" s="79">
        <v>-0.01</v>
      </c>
      <c r="O81" s="79">
        <v>-0.01</v>
      </c>
      <c r="P81" s="79">
        <v>798.11</v>
      </c>
      <c r="R81" s="79">
        <v>0</v>
      </c>
      <c r="AB81" s="79">
        <v>-0.01</v>
      </c>
      <c r="AD81" s="79">
        <v>798.12</v>
      </c>
    </row>
    <row r="82" spans="2:30" x14ac:dyDescent="0.25">
      <c r="B82" s="84" t="s">
        <v>125</v>
      </c>
      <c r="C82" s="79">
        <v>118.5</v>
      </c>
      <c r="D82" s="79">
        <v>0</v>
      </c>
      <c r="G82" s="79">
        <v>118.5</v>
      </c>
      <c r="H82" s="79">
        <v>118.5</v>
      </c>
      <c r="I82" s="79">
        <v>118.5</v>
      </c>
      <c r="J82" s="79">
        <v>118.5</v>
      </c>
      <c r="K82" s="79">
        <v>118.5</v>
      </c>
      <c r="L82" s="79">
        <v>118.5</v>
      </c>
      <c r="M82" s="79">
        <v>118.5</v>
      </c>
      <c r="N82" s="79">
        <v>118.5</v>
      </c>
      <c r="O82" s="79">
        <v>118.5</v>
      </c>
      <c r="P82" s="79">
        <v>-617.41</v>
      </c>
      <c r="R82" s="79">
        <v>-5872.04</v>
      </c>
      <c r="U82" s="79">
        <v>118.5</v>
      </c>
      <c r="AD82" s="79">
        <v>-735.91</v>
      </c>
    </row>
    <row r="83" spans="2:30" x14ac:dyDescent="0.25">
      <c r="B83" s="84" t="s">
        <v>165</v>
      </c>
      <c r="C83" s="79">
        <v>-121.26</v>
      </c>
      <c r="N83" s="79">
        <v>-121.26</v>
      </c>
      <c r="O83" s="79">
        <v>-121.26</v>
      </c>
      <c r="P83" s="79">
        <v>-165.33</v>
      </c>
      <c r="AB83" s="79">
        <v>-121.26</v>
      </c>
      <c r="AD83" s="79">
        <v>-44.07</v>
      </c>
    </row>
    <row r="84" spans="2:30" x14ac:dyDescent="0.25">
      <c r="B84" s="84" t="s">
        <v>124</v>
      </c>
      <c r="C84" s="79">
        <v>-3300</v>
      </c>
      <c r="D84" s="79">
        <v>0</v>
      </c>
      <c r="E84" s="79">
        <v>-300</v>
      </c>
      <c r="F84" s="79">
        <v>-600</v>
      </c>
      <c r="G84" s="79">
        <v>-900</v>
      </c>
      <c r="H84" s="79">
        <v>-1200</v>
      </c>
      <c r="I84" s="79">
        <v>-1500</v>
      </c>
      <c r="J84" s="79">
        <v>-1800</v>
      </c>
      <c r="K84" s="79">
        <v>-2100</v>
      </c>
      <c r="L84" s="79">
        <v>-2400</v>
      </c>
      <c r="M84" s="79">
        <v>-2700</v>
      </c>
      <c r="N84" s="79">
        <v>-3000</v>
      </c>
      <c r="O84" s="79">
        <v>-3300</v>
      </c>
      <c r="P84" s="79">
        <v>-3780</v>
      </c>
      <c r="Q84" s="79">
        <v>-300</v>
      </c>
      <c r="R84" s="79">
        <v>3300</v>
      </c>
      <c r="S84" s="79">
        <v>-300</v>
      </c>
      <c r="T84" s="79">
        <v>-300</v>
      </c>
      <c r="U84" s="79">
        <v>-300</v>
      </c>
      <c r="V84" s="79">
        <v>-300</v>
      </c>
      <c r="W84" s="79">
        <v>-300</v>
      </c>
      <c r="X84" s="79">
        <v>-300</v>
      </c>
      <c r="Y84" s="79">
        <v>-300</v>
      </c>
      <c r="Z84" s="79">
        <v>-300</v>
      </c>
      <c r="AA84" s="79">
        <v>-300</v>
      </c>
      <c r="AB84" s="79">
        <v>-300</v>
      </c>
      <c r="AC84" s="79">
        <v>-300</v>
      </c>
      <c r="AD84" s="79">
        <v>-480</v>
      </c>
    </row>
    <row r="85" spans="2:30" x14ac:dyDescent="0.25">
      <c r="B85" s="84" t="s">
        <v>289</v>
      </c>
    </row>
    <row r="86" spans="2:30" x14ac:dyDescent="0.25">
      <c r="B86" s="84" t="s">
        <v>98</v>
      </c>
      <c r="C86" s="79">
        <v>-3096.8</v>
      </c>
      <c r="D86" s="79">
        <v>0</v>
      </c>
      <c r="E86" s="79">
        <v>-209.41</v>
      </c>
      <c r="F86" s="79">
        <v>-470.33</v>
      </c>
      <c r="G86" s="79">
        <v>-688.07</v>
      </c>
      <c r="H86" s="79">
        <v>-951.1</v>
      </c>
      <c r="I86" s="79">
        <v>-1140.1300000000001</v>
      </c>
      <c r="J86" s="79">
        <v>-1442.91</v>
      </c>
      <c r="K86" s="79">
        <v>-1865.9</v>
      </c>
      <c r="L86" s="79">
        <v>-2148.6</v>
      </c>
      <c r="M86" s="79">
        <v>-2507.56</v>
      </c>
      <c r="N86" s="79">
        <v>-2770.33</v>
      </c>
      <c r="O86" s="79">
        <v>-3096.8</v>
      </c>
      <c r="P86" s="79">
        <v>-3399.7</v>
      </c>
      <c r="Q86" s="79">
        <v>-286.38</v>
      </c>
      <c r="R86" s="79">
        <v>2630.88</v>
      </c>
      <c r="S86" s="79">
        <v>-209.41</v>
      </c>
      <c r="T86" s="79">
        <v>-260.92</v>
      </c>
      <c r="U86" s="79">
        <v>-217.74</v>
      </c>
      <c r="V86" s="79">
        <v>-263.02999999999997</v>
      </c>
      <c r="W86" s="79">
        <v>-189.03</v>
      </c>
      <c r="X86" s="79">
        <v>-302.77999999999997</v>
      </c>
      <c r="Y86" s="79">
        <v>-422.99</v>
      </c>
      <c r="Z86" s="79">
        <v>-282.7</v>
      </c>
      <c r="AA86" s="79">
        <v>-358.96</v>
      </c>
      <c r="AB86" s="79">
        <v>-262.77</v>
      </c>
      <c r="AC86" s="79">
        <v>-326.47000000000003</v>
      </c>
      <c r="AD86" s="79">
        <v>-302.89999999999998</v>
      </c>
    </row>
    <row r="87" spans="2:30" x14ac:dyDescent="0.25">
      <c r="B87" s="84" t="s">
        <v>123</v>
      </c>
      <c r="C87" s="79">
        <v>-2270</v>
      </c>
      <c r="D87" s="79">
        <v>0</v>
      </c>
      <c r="E87" s="79">
        <v>-160</v>
      </c>
      <c r="F87" s="79">
        <v>-320</v>
      </c>
      <c r="G87" s="79">
        <v>-480</v>
      </c>
      <c r="H87" s="79">
        <v>-670</v>
      </c>
      <c r="I87" s="79">
        <v>-860</v>
      </c>
      <c r="J87" s="79">
        <v>-1050</v>
      </c>
      <c r="K87" s="79">
        <v>-1270</v>
      </c>
      <c r="L87" s="79">
        <v>-1520</v>
      </c>
      <c r="M87" s="79">
        <v>-1770</v>
      </c>
      <c r="N87" s="79">
        <v>-2020</v>
      </c>
      <c r="O87" s="79">
        <v>-2270</v>
      </c>
      <c r="P87" s="79">
        <v>-2584.1999999999998</v>
      </c>
      <c r="Q87" s="79">
        <v>-100</v>
      </c>
      <c r="R87" s="79">
        <v>1100</v>
      </c>
      <c r="S87" s="79">
        <v>-160</v>
      </c>
      <c r="T87" s="79">
        <v>-160</v>
      </c>
      <c r="U87" s="79">
        <v>-160</v>
      </c>
      <c r="V87" s="79">
        <v>-190</v>
      </c>
      <c r="W87" s="79">
        <v>-190</v>
      </c>
      <c r="X87" s="79">
        <v>-190</v>
      </c>
      <c r="Y87" s="79">
        <v>-220</v>
      </c>
      <c r="Z87" s="79">
        <v>-250</v>
      </c>
      <c r="AA87" s="79">
        <v>-250</v>
      </c>
      <c r="AB87" s="79">
        <v>-250</v>
      </c>
      <c r="AC87" s="79">
        <v>-250</v>
      </c>
      <c r="AD87" s="79">
        <v>-314.2</v>
      </c>
    </row>
    <row r="88" spans="2:30" x14ac:dyDescent="0.25">
      <c r="B88" s="84" t="s">
        <v>235</v>
      </c>
      <c r="C88" s="79">
        <v>0</v>
      </c>
      <c r="D88" s="79">
        <v>0</v>
      </c>
      <c r="Q88" s="79">
        <v>-200</v>
      </c>
      <c r="R88" s="79">
        <v>2200</v>
      </c>
    </row>
    <row r="89" spans="2:30" x14ac:dyDescent="0.25">
      <c r="B89" s="84" t="s">
        <v>290</v>
      </c>
    </row>
    <row r="90" spans="2:30" x14ac:dyDescent="0.25">
      <c r="B90" s="84" t="s">
        <v>122</v>
      </c>
      <c r="C90" s="79">
        <v>-1375</v>
      </c>
      <c r="D90" s="79">
        <v>0</v>
      </c>
      <c r="E90" s="79">
        <v>-125</v>
      </c>
      <c r="F90" s="79">
        <v>-250</v>
      </c>
      <c r="G90" s="79">
        <v>-375</v>
      </c>
      <c r="H90" s="79">
        <v>-500</v>
      </c>
      <c r="I90" s="79">
        <v>-625</v>
      </c>
      <c r="J90" s="79">
        <v>-750</v>
      </c>
      <c r="K90" s="79">
        <v>-875</v>
      </c>
      <c r="L90" s="79">
        <v>-1000</v>
      </c>
      <c r="M90" s="79">
        <v>-1125</v>
      </c>
      <c r="N90" s="79">
        <v>-1250</v>
      </c>
      <c r="O90" s="79">
        <v>-1375</v>
      </c>
      <c r="P90" s="79">
        <v>-690.24</v>
      </c>
      <c r="Q90" s="79">
        <v>-125</v>
      </c>
      <c r="R90" s="79">
        <v>1375</v>
      </c>
      <c r="S90" s="79">
        <v>-125</v>
      </c>
      <c r="T90" s="79">
        <v>-125</v>
      </c>
      <c r="U90" s="79">
        <v>-125</v>
      </c>
      <c r="V90" s="79">
        <v>-125</v>
      </c>
      <c r="W90" s="79">
        <v>-125</v>
      </c>
      <c r="X90" s="79">
        <v>-125</v>
      </c>
      <c r="Y90" s="79">
        <v>-125</v>
      </c>
      <c r="Z90" s="79">
        <v>-125</v>
      </c>
      <c r="AA90" s="79">
        <v>-125</v>
      </c>
      <c r="AB90" s="79">
        <v>-125</v>
      </c>
      <c r="AC90" s="79">
        <v>-125</v>
      </c>
      <c r="AD90" s="79">
        <v>684.76</v>
      </c>
    </row>
    <row r="91" spans="2:30" x14ac:dyDescent="0.25">
      <c r="B91" s="84" t="s">
        <v>97</v>
      </c>
      <c r="C91" s="79">
        <v>-6161.18</v>
      </c>
      <c r="D91" s="79">
        <v>0</v>
      </c>
      <c r="E91" s="79">
        <v>-540.42999999999995</v>
      </c>
      <c r="F91" s="79">
        <v>-1080.8599999999999</v>
      </c>
      <c r="G91" s="79">
        <v>-1643.74</v>
      </c>
      <c r="H91" s="79">
        <v>-2208.42</v>
      </c>
      <c r="I91" s="79">
        <v>-2773.1</v>
      </c>
      <c r="J91" s="79">
        <v>-3337.78</v>
      </c>
      <c r="K91" s="79">
        <v>-3902.46</v>
      </c>
      <c r="L91" s="79">
        <v>-4467.1400000000003</v>
      </c>
      <c r="M91" s="79">
        <v>-5031.82</v>
      </c>
      <c r="N91" s="79">
        <v>-5596.5</v>
      </c>
      <c r="O91" s="79">
        <v>-6161.18</v>
      </c>
      <c r="P91" s="79">
        <v>-6654.08</v>
      </c>
      <c r="Q91" s="79">
        <v>-580.42999999999995</v>
      </c>
      <c r="R91" s="79">
        <v>5674.49</v>
      </c>
      <c r="S91" s="79">
        <v>-540.42999999999995</v>
      </c>
      <c r="T91" s="79">
        <v>-540.42999999999995</v>
      </c>
      <c r="U91" s="79">
        <v>-562.88</v>
      </c>
      <c r="V91" s="79">
        <v>-564.67999999999995</v>
      </c>
      <c r="W91" s="79">
        <v>-564.67999999999995</v>
      </c>
      <c r="X91" s="79">
        <v>-564.67999999999995</v>
      </c>
      <c r="Y91" s="79">
        <v>-564.67999999999995</v>
      </c>
      <c r="Z91" s="79">
        <v>-564.67999999999995</v>
      </c>
      <c r="AA91" s="79">
        <v>-564.67999999999995</v>
      </c>
      <c r="AB91" s="79">
        <v>-564.67999999999995</v>
      </c>
      <c r="AC91" s="79">
        <v>-564.67999999999995</v>
      </c>
      <c r="AD91" s="79">
        <v>-492.9</v>
      </c>
    </row>
    <row r="92" spans="2:30" x14ac:dyDescent="0.25">
      <c r="B92" s="84" t="s">
        <v>96</v>
      </c>
      <c r="C92" s="79">
        <v>-9151.84</v>
      </c>
      <c r="D92" s="79">
        <v>0</v>
      </c>
      <c r="E92" s="79">
        <v>-677.44</v>
      </c>
      <c r="F92" s="79">
        <v>-1142.44</v>
      </c>
      <c r="G92" s="79">
        <v>-1681.44</v>
      </c>
      <c r="H92" s="79">
        <v>-2743.58</v>
      </c>
      <c r="I92" s="79">
        <v>-3372.58</v>
      </c>
      <c r="J92" s="79">
        <v>-4692.25</v>
      </c>
      <c r="K92" s="79">
        <v>-5929.39</v>
      </c>
      <c r="L92" s="79">
        <v>-6872.91</v>
      </c>
      <c r="M92" s="79">
        <v>-7689.5</v>
      </c>
      <c r="N92" s="79">
        <v>-8413.27</v>
      </c>
      <c r="O92" s="79">
        <v>-9151.84</v>
      </c>
      <c r="P92" s="79">
        <v>-11439.54</v>
      </c>
      <c r="Q92" s="79">
        <v>-1109.68</v>
      </c>
      <c r="R92" s="79">
        <v>8562.57</v>
      </c>
      <c r="S92" s="79">
        <v>-677.44</v>
      </c>
      <c r="T92" s="79">
        <v>-465</v>
      </c>
      <c r="U92" s="79">
        <v>-539</v>
      </c>
      <c r="V92" s="79">
        <v>-1062.1400000000001</v>
      </c>
      <c r="W92" s="79">
        <v>-629</v>
      </c>
      <c r="X92" s="79">
        <v>-1319.67</v>
      </c>
      <c r="Y92" s="79">
        <v>-1237.1400000000001</v>
      </c>
      <c r="Z92" s="79">
        <v>-943.52</v>
      </c>
      <c r="AA92" s="79">
        <v>-816.59</v>
      </c>
      <c r="AB92" s="79">
        <v>-723.77</v>
      </c>
      <c r="AC92" s="79">
        <v>-738.57</v>
      </c>
      <c r="AD92" s="79">
        <v>-2287.6999999999998</v>
      </c>
    </row>
    <row r="93" spans="2:30" x14ac:dyDescent="0.25">
      <c r="B93" s="84" t="s">
        <v>95</v>
      </c>
      <c r="C93" s="79">
        <v>-1408.69</v>
      </c>
      <c r="D93" s="79">
        <v>0</v>
      </c>
      <c r="E93" s="79">
        <v>-346.37</v>
      </c>
      <c r="F93" s="79">
        <v>-442.15</v>
      </c>
      <c r="G93" s="79">
        <v>-447.35</v>
      </c>
      <c r="H93" s="79">
        <v>-453.75</v>
      </c>
      <c r="I93" s="79">
        <v>-848.93</v>
      </c>
      <c r="J93" s="79">
        <v>-856.08</v>
      </c>
      <c r="K93" s="79">
        <v>-878.48</v>
      </c>
      <c r="L93" s="79">
        <v>-1068.21</v>
      </c>
      <c r="M93" s="79">
        <v>-1166.4100000000001</v>
      </c>
      <c r="N93" s="79">
        <v>-1330.41</v>
      </c>
      <c r="O93" s="79">
        <v>-1408.69</v>
      </c>
      <c r="P93" s="79">
        <v>-1525.83</v>
      </c>
      <c r="Q93" s="79">
        <v>-86.28</v>
      </c>
      <c r="R93" s="79">
        <v>1084.8399999999999</v>
      </c>
      <c r="S93" s="79">
        <v>-346.37</v>
      </c>
      <c r="T93" s="79">
        <v>-95.78</v>
      </c>
      <c r="U93" s="79">
        <v>-5.2</v>
      </c>
      <c r="V93" s="79">
        <v>-6.4</v>
      </c>
      <c r="W93" s="79">
        <v>-395.18</v>
      </c>
      <c r="X93" s="79">
        <v>-7.15</v>
      </c>
      <c r="Y93" s="79">
        <v>-22.4</v>
      </c>
      <c r="Z93" s="79">
        <v>-189.73</v>
      </c>
      <c r="AA93" s="79">
        <v>-98.2</v>
      </c>
      <c r="AB93" s="79">
        <v>-164</v>
      </c>
      <c r="AC93" s="79">
        <v>-78.28</v>
      </c>
      <c r="AD93" s="79">
        <v>-117.14</v>
      </c>
    </row>
    <row r="94" spans="2:30" x14ac:dyDescent="0.25">
      <c r="B94" s="84" t="s">
        <v>121</v>
      </c>
      <c r="C94" s="79">
        <v>-22220</v>
      </c>
      <c r="D94" s="79">
        <v>0</v>
      </c>
      <c r="E94" s="79">
        <v>-2020</v>
      </c>
      <c r="F94" s="79">
        <v>-4040</v>
      </c>
      <c r="G94" s="79">
        <v>-6060</v>
      </c>
      <c r="H94" s="79">
        <v>-8080</v>
      </c>
      <c r="I94" s="79">
        <v>-10100</v>
      </c>
      <c r="J94" s="79">
        <v>-12120</v>
      </c>
      <c r="K94" s="79">
        <v>-14140</v>
      </c>
      <c r="L94" s="79">
        <v>-16160</v>
      </c>
      <c r="M94" s="79">
        <v>-18180</v>
      </c>
      <c r="N94" s="79">
        <v>-20200</v>
      </c>
      <c r="O94" s="79">
        <v>-22220</v>
      </c>
      <c r="P94" s="79">
        <v>-30152.54</v>
      </c>
      <c r="Q94" s="79">
        <v>-1975</v>
      </c>
      <c r="R94" s="79">
        <v>21725</v>
      </c>
      <c r="S94" s="79">
        <v>-2020</v>
      </c>
      <c r="T94" s="79">
        <v>-2020</v>
      </c>
      <c r="U94" s="79">
        <v>-2020</v>
      </c>
      <c r="V94" s="79">
        <v>-2020</v>
      </c>
      <c r="W94" s="79">
        <v>-2020</v>
      </c>
      <c r="X94" s="79">
        <v>-2020</v>
      </c>
      <c r="Y94" s="79">
        <v>-2020</v>
      </c>
      <c r="Z94" s="79">
        <v>-2020</v>
      </c>
      <c r="AA94" s="79">
        <v>-2020</v>
      </c>
      <c r="AB94" s="79">
        <v>-2020</v>
      </c>
      <c r="AC94" s="79">
        <v>-2020</v>
      </c>
      <c r="AD94" s="79">
        <v>-7932.54</v>
      </c>
    </row>
    <row r="95" spans="2:30" x14ac:dyDescent="0.25">
      <c r="B95" s="84" t="s">
        <v>94</v>
      </c>
      <c r="C95" s="79">
        <v>-5521.79</v>
      </c>
      <c r="D95" s="79">
        <v>0</v>
      </c>
      <c r="F95" s="79">
        <v>-155</v>
      </c>
      <c r="G95" s="79">
        <v>-155</v>
      </c>
      <c r="H95" s="79">
        <v>-155</v>
      </c>
      <c r="I95" s="79">
        <v>-155</v>
      </c>
      <c r="J95" s="79">
        <v>-889.79</v>
      </c>
      <c r="K95" s="79">
        <v>-889.79</v>
      </c>
      <c r="L95" s="79">
        <v>-5521.79</v>
      </c>
      <c r="M95" s="79">
        <v>-5521.79</v>
      </c>
      <c r="N95" s="79">
        <v>-5521.79</v>
      </c>
      <c r="O95" s="79">
        <v>-5521.79</v>
      </c>
      <c r="P95" s="79">
        <v>-5521.79</v>
      </c>
      <c r="R95" s="79">
        <v>2915.66</v>
      </c>
      <c r="T95" s="79">
        <v>-155</v>
      </c>
      <c r="X95" s="79">
        <v>-734.79</v>
      </c>
      <c r="Z95" s="79">
        <v>-4632</v>
      </c>
    </row>
    <row r="96" spans="2:30" x14ac:dyDescent="0.25">
      <c r="B96" s="84" t="s">
        <v>93</v>
      </c>
      <c r="C96" s="79">
        <v>-92780.33</v>
      </c>
      <c r="D96" s="79">
        <v>0</v>
      </c>
      <c r="E96" s="79">
        <v>-8296.18</v>
      </c>
      <c r="F96" s="79">
        <v>-13255.32</v>
      </c>
      <c r="G96" s="79">
        <v>-21542.400000000001</v>
      </c>
      <c r="H96" s="79">
        <v>-29829.48</v>
      </c>
      <c r="I96" s="79">
        <v>-38116.559999999998</v>
      </c>
      <c r="J96" s="79">
        <v>-46403.64</v>
      </c>
      <c r="K96" s="79">
        <v>-56494</v>
      </c>
      <c r="L96" s="79">
        <v>-65281.08</v>
      </c>
      <c r="M96" s="79">
        <v>-74068.160000000003</v>
      </c>
      <c r="N96" s="79">
        <v>-82855.240000000005</v>
      </c>
      <c r="O96" s="79">
        <v>-92780.33</v>
      </c>
      <c r="P96" s="79">
        <v>-99554.26</v>
      </c>
      <c r="Q96" s="79">
        <v>-11710.19</v>
      </c>
      <c r="R96" s="79">
        <v>96858.08</v>
      </c>
      <c r="S96" s="79">
        <v>-8296.18</v>
      </c>
      <c r="T96" s="79">
        <v>-4959.1400000000003</v>
      </c>
      <c r="U96" s="79">
        <v>-8287.08</v>
      </c>
      <c r="V96" s="79">
        <v>-8287.08</v>
      </c>
      <c r="W96" s="79">
        <v>-8287.08</v>
      </c>
      <c r="X96" s="79">
        <v>-8287.08</v>
      </c>
      <c r="Y96" s="79">
        <v>-10090.36</v>
      </c>
      <c r="Z96" s="79">
        <v>-8787.08</v>
      </c>
      <c r="AA96" s="79">
        <v>-8787.08</v>
      </c>
      <c r="AB96" s="79">
        <v>-8787.08</v>
      </c>
      <c r="AC96" s="79">
        <v>-9925.09</v>
      </c>
      <c r="AD96" s="79">
        <v>-6773.93</v>
      </c>
    </row>
    <row r="97" spans="2:30" x14ac:dyDescent="0.25">
      <c r="B97" s="84" t="s">
        <v>92</v>
      </c>
      <c r="C97" s="79">
        <v>-36000</v>
      </c>
      <c r="D97" s="79">
        <v>0</v>
      </c>
      <c r="E97" s="79">
        <v>-3000</v>
      </c>
      <c r="F97" s="79">
        <v>-9000</v>
      </c>
      <c r="G97" s="79">
        <v>-12000</v>
      </c>
      <c r="H97" s="79">
        <v>-15000</v>
      </c>
      <c r="I97" s="79">
        <v>-18000</v>
      </c>
      <c r="J97" s="79">
        <v>-21000</v>
      </c>
      <c r="K97" s="79">
        <v>-24000</v>
      </c>
      <c r="L97" s="79">
        <v>-27000</v>
      </c>
      <c r="M97" s="79">
        <v>-30000</v>
      </c>
      <c r="N97" s="79">
        <v>-33000</v>
      </c>
      <c r="O97" s="79">
        <v>-36000</v>
      </c>
      <c r="P97" s="79">
        <v>-39000</v>
      </c>
      <c r="Q97" s="79">
        <v>-3500</v>
      </c>
      <c r="R97" s="79">
        <v>33500</v>
      </c>
      <c r="S97" s="79">
        <v>-3000</v>
      </c>
      <c r="T97" s="79">
        <v>-6000</v>
      </c>
      <c r="U97" s="79">
        <v>-3000</v>
      </c>
      <c r="V97" s="79">
        <v>-3000</v>
      </c>
      <c r="W97" s="79">
        <v>-3000</v>
      </c>
      <c r="X97" s="79">
        <v>-3000</v>
      </c>
      <c r="Y97" s="79">
        <v>-3000</v>
      </c>
      <c r="Z97" s="79">
        <v>-3000</v>
      </c>
      <c r="AA97" s="79">
        <v>-3000</v>
      </c>
      <c r="AB97" s="79">
        <v>-3000</v>
      </c>
      <c r="AC97" s="79">
        <v>-3000</v>
      </c>
      <c r="AD97" s="79">
        <v>-3000</v>
      </c>
    </row>
    <row r="98" spans="2:30" x14ac:dyDescent="0.25">
      <c r="B98" s="84" t="s">
        <v>91</v>
      </c>
      <c r="C98" s="79">
        <v>-2403.63</v>
      </c>
      <c r="D98" s="79">
        <v>0</v>
      </c>
      <c r="E98" s="79">
        <v>-405.18</v>
      </c>
      <c r="F98" s="79">
        <v>-635.44000000000005</v>
      </c>
      <c r="G98" s="79">
        <v>-642.94000000000005</v>
      </c>
      <c r="H98" s="79">
        <v>-642.94000000000005</v>
      </c>
      <c r="I98" s="79">
        <v>-956.83</v>
      </c>
      <c r="J98" s="79">
        <v>-1320.03</v>
      </c>
      <c r="K98" s="79">
        <v>-1320.03</v>
      </c>
      <c r="L98" s="79">
        <v>-1434.93</v>
      </c>
      <c r="M98" s="79">
        <v>-1748.61</v>
      </c>
      <c r="N98" s="79">
        <v>-2076.92</v>
      </c>
      <c r="O98" s="79">
        <v>-2403.63</v>
      </c>
      <c r="P98" s="79">
        <v>-2403.63</v>
      </c>
      <c r="Q98" s="79">
        <v>-179.84</v>
      </c>
      <c r="R98" s="79">
        <v>2846.74</v>
      </c>
      <c r="S98" s="79">
        <v>-405.18</v>
      </c>
      <c r="T98" s="79">
        <v>-230.26</v>
      </c>
      <c r="U98" s="79">
        <v>-7.5</v>
      </c>
      <c r="W98" s="79">
        <v>-313.89</v>
      </c>
      <c r="X98" s="79">
        <v>-363.2</v>
      </c>
      <c r="Z98" s="79">
        <v>-114.9</v>
      </c>
      <c r="AA98" s="79">
        <v>-313.68</v>
      </c>
      <c r="AB98" s="79">
        <v>-328.31</v>
      </c>
      <c r="AC98" s="79">
        <v>-326.70999999999998</v>
      </c>
    </row>
    <row r="99" spans="2:30" x14ac:dyDescent="0.25">
      <c r="B99" s="84" t="s">
        <v>90</v>
      </c>
      <c r="C99" s="79">
        <v>-7715.55</v>
      </c>
      <c r="D99" s="79">
        <v>0</v>
      </c>
      <c r="E99" s="79">
        <v>-700</v>
      </c>
      <c r="F99" s="79">
        <v>-1400</v>
      </c>
      <c r="G99" s="79">
        <v>-2100</v>
      </c>
      <c r="H99" s="79">
        <v>-2800</v>
      </c>
      <c r="I99" s="79">
        <v>-3500</v>
      </c>
      <c r="J99" s="79">
        <v>-4200</v>
      </c>
      <c r="K99" s="79">
        <v>-4900</v>
      </c>
      <c r="L99" s="79">
        <v>-5600</v>
      </c>
      <c r="M99" s="79">
        <v>-6315.55</v>
      </c>
      <c r="N99" s="79">
        <v>-7015.55</v>
      </c>
      <c r="O99" s="79">
        <v>-7715.55</v>
      </c>
      <c r="P99" s="79">
        <v>-6991.81</v>
      </c>
      <c r="Q99" s="79">
        <v>-660</v>
      </c>
      <c r="R99" s="79">
        <v>7260</v>
      </c>
      <c r="S99" s="79">
        <v>-700</v>
      </c>
      <c r="T99" s="79">
        <v>-700</v>
      </c>
      <c r="U99" s="79">
        <v>-700</v>
      </c>
      <c r="V99" s="79">
        <v>-700</v>
      </c>
      <c r="W99" s="79">
        <v>-700</v>
      </c>
      <c r="X99" s="79">
        <v>-700</v>
      </c>
      <c r="Y99" s="79">
        <v>-700</v>
      </c>
      <c r="Z99" s="79">
        <v>-700</v>
      </c>
      <c r="AA99" s="79">
        <v>-715.55</v>
      </c>
      <c r="AB99" s="79">
        <v>-700</v>
      </c>
      <c r="AC99" s="79">
        <v>-700</v>
      </c>
      <c r="AD99" s="79">
        <v>723.74</v>
      </c>
    </row>
    <row r="100" spans="2:30" x14ac:dyDescent="0.25">
      <c r="B100" s="84" t="s">
        <v>89</v>
      </c>
      <c r="C100" s="79">
        <v>-3491.98</v>
      </c>
      <c r="D100" s="79">
        <v>0</v>
      </c>
      <c r="E100" s="79">
        <v>-678.98</v>
      </c>
      <c r="F100" s="79">
        <v>-1070.3</v>
      </c>
      <c r="G100" s="79">
        <v>-1416.25</v>
      </c>
      <c r="H100" s="79">
        <v>-1632.2</v>
      </c>
      <c r="I100" s="79">
        <v>-1820.86</v>
      </c>
      <c r="J100" s="79">
        <v>-2034.85</v>
      </c>
      <c r="K100" s="79">
        <v>-2230.8000000000002</v>
      </c>
      <c r="L100" s="79">
        <v>-2461.75</v>
      </c>
      <c r="M100" s="79">
        <v>-3054.29</v>
      </c>
      <c r="N100" s="79">
        <v>-3250.24</v>
      </c>
      <c r="O100" s="79">
        <v>-3491.98</v>
      </c>
      <c r="P100" s="79">
        <v>571.91999999999996</v>
      </c>
      <c r="Q100" s="79">
        <v>-545.04999999999995</v>
      </c>
      <c r="R100" s="79">
        <v>5585.19</v>
      </c>
      <c r="S100" s="79">
        <v>-678.98</v>
      </c>
      <c r="T100" s="79">
        <v>-391.32</v>
      </c>
      <c r="U100" s="79">
        <v>-345.95</v>
      </c>
      <c r="V100" s="79">
        <v>-215.95</v>
      </c>
      <c r="W100" s="79">
        <v>-188.66</v>
      </c>
      <c r="X100" s="79">
        <v>-213.99</v>
      </c>
      <c r="Y100" s="79">
        <v>-195.95</v>
      </c>
      <c r="Z100" s="79">
        <v>-230.95</v>
      </c>
      <c r="AA100" s="79">
        <v>-592.54</v>
      </c>
      <c r="AB100" s="79">
        <v>-195.95</v>
      </c>
      <c r="AC100" s="79">
        <v>-241.74</v>
      </c>
      <c r="AD100" s="79">
        <v>4063.9</v>
      </c>
    </row>
    <row r="101" spans="2:30" x14ac:dyDescent="0.25">
      <c r="B101" s="84" t="s">
        <v>120</v>
      </c>
      <c r="C101" s="79">
        <v>-2108</v>
      </c>
      <c r="D101" s="79">
        <v>0</v>
      </c>
      <c r="F101" s="79">
        <v>-933</v>
      </c>
      <c r="G101" s="79">
        <v>-933</v>
      </c>
      <c r="H101" s="79">
        <v>-933</v>
      </c>
      <c r="I101" s="79">
        <v>-933</v>
      </c>
      <c r="J101" s="79">
        <v>-1368</v>
      </c>
      <c r="K101" s="79">
        <v>-1368</v>
      </c>
      <c r="L101" s="79">
        <v>-1368</v>
      </c>
      <c r="M101" s="79">
        <v>-1368</v>
      </c>
      <c r="N101" s="79">
        <v>-2108</v>
      </c>
      <c r="O101" s="79">
        <v>-2108</v>
      </c>
      <c r="P101" s="79">
        <v>-2108</v>
      </c>
      <c r="Q101" s="79">
        <v>-75</v>
      </c>
      <c r="R101" s="79">
        <v>280</v>
      </c>
      <c r="T101" s="79">
        <v>-933</v>
      </c>
      <c r="X101" s="79">
        <v>-435</v>
      </c>
      <c r="AB101" s="79">
        <v>-740</v>
      </c>
    </row>
    <row r="102" spans="2:30" x14ac:dyDescent="0.25">
      <c r="B102" s="84" t="s">
        <v>88</v>
      </c>
      <c r="C102" s="79">
        <v>-4374.5</v>
      </c>
      <c r="D102" s="79">
        <v>0</v>
      </c>
      <c r="E102" s="79">
        <v>-311.91000000000003</v>
      </c>
      <c r="F102" s="79">
        <v>-493.16</v>
      </c>
      <c r="G102" s="79">
        <v>-1009.36</v>
      </c>
      <c r="H102" s="79">
        <v>-1511.57</v>
      </c>
      <c r="I102" s="79">
        <v>-2398.0700000000002</v>
      </c>
      <c r="J102" s="79">
        <v>-2948.71</v>
      </c>
      <c r="K102" s="79">
        <v>-3370.68</v>
      </c>
      <c r="L102" s="79">
        <v>-3945.55</v>
      </c>
      <c r="M102" s="79">
        <v>-4084.56</v>
      </c>
      <c r="N102" s="79">
        <v>-4130.1400000000003</v>
      </c>
      <c r="O102" s="79">
        <v>-4374.5</v>
      </c>
      <c r="P102" s="79">
        <v>-5256.96</v>
      </c>
      <c r="Q102" s="79">
        <v>-751.8</v>
      </c>
      <c r="R102" s="79">
        <v>4735.49</v>
      </c>
      <c r="S102" s="79">
        <v>-311.91000000000003</v>
      </c>
      <c r="T102" s="79">
        <v>-181.25</v>
      </c>
      <c r="U102" s="79">
        <v>-516.20000000000005</v>
      </c>
      <c r="V102" s="79">
        <v>-502.21</v>
      </c>
      <c r="W102" s="79">
        <v>-886.5</v>
      </c>
      <c r="X102" s="79">
        <v>-550.64</v>
      </c>
      <c r="Y102" s="79">
        <v>-421.97</v>
      </c>
      <c r="Z102" s="79">
        <v>-574.87</v>
      </c>
      <c r="AA102" s="79">
        <v>-139.01</v>
      </c>
      <c r="AB102" s="79">
        <v>-45.58</v>
      </c>
      <c r="AC102" s="79">
        <v>-244.36</v>
      </c>
      <c r="AD102" s="79">
        <v>-882.46</v>
      </c>
    </row>
    <row r="103" spans="2:30" x14ac:dyDescent="0.25">
      <c r="B103" s="84" t="s">
        <v>87</v>
      </c>
      <c r="C103" s="79">
        <v>-9017.01</v>
      </c>
      <c r="D103" s="79">
        <v>0</v>
      </c>
      <c r="E103" s="79">
        <v>-860.04</v>
      </c>
      <c r="F103" s="79">
        <v>-1262.03</v>
      </c>
      <c r="G103" s="79">
        <v>-1697.04</v>
      </c>
      <c r="H103" s="79">
        <v>-2136.34</v>
      </c>
      <c r="I103" s="79">
        <v>-2534.11</v>
      </c>
      <c r="J103" s="79">
        <v>-4574.45</v>
      </c>
      <c r="K103" s="79">
        <v>-5938.08</v>
      </c>
      <c r="L103" s="79">
        <v>-7086.65</v>
      </c>
      <c r="M103" s="79">
        <v>-7562.67</v>
      </c>
      <c r="N103" s="79">
        <v>-8162.24</v>
      </c>
      <c r="O103" s="79">
        <v>-9017.01</v>
      </c>
      <c r="P103" s="79">
        <v>-10129.83</v>
      </c>
      <c r="Q103" s="79">
        <v>-457.8</v>
      </c>
      <c r="R103" s="79">
        <v>6316.68</v>
      </c>
      <c r="S103" s="79">
        <v>-860.04</v>
      </c>
      <c r="T103" s="79">
        <v>-401.99</v>
      </c>
      <c r="U103" s="79">
        <v>-435.01</v>
      </c>
      <c r="V103" s="79">
        <v>-439.3</v>
      </c>
      <c r="W103" s="79">
        <v>-397.77</v>
      </c>
      <c r="X103" s="79">
        <v>-2040.34</v>
      </c>
      <c r="Y103" s="79">
        <v>-1363.63</v>
      </c>
      <c r="Z103" s="79">
        <v>-1148.57</v>
      </c>
      <c r="AA103" s="79">
        <v>-476.02</v>
      </c>
      <c r="AB103" s="79">
        <v>-599.57000000000005</v>
      </c>
      <c r="AC103" s="79">
        <v>-854.77</v>
      </c>
      <c r="AD103" s="79">
        <v>-1112.82</v>
      </c>
    </row>
    <row r="104" spans="2:30" x14ac:dyDescent="0.25">
      <c r="B104" s="84" t="s">
        <v>236</v>
      </c>
      <c r="C104" s="79">
        <v>41746.370000000003</v>
      </c>
      <c r="D104" s="79">
        <v>41746.370000000003</v>
      </c>
      <c r="P104" s="79">
        <v>0</v>
      </c>
      <c r="R104" s="79">
        <v>41746.370000000003</v>
      </c>
      <c r="AD104" s="79">
        <v>0</v>
      </c>
    </row>
    <row r="105" spans="2:30" x14ac:dyDescent="0.25">
      <c r="B105" s="84" t="s">
        <v>86</v>
      </c>
      <c r="C105" s="79">
        <v>0</v>
      </c>
      <c r="D105" s="79">
        <v>0</v>
      </c>
      <c r="E105" s="79">
        <v>0</v>
      </c>
      <c r="F105" s="79">
        <v>0</v>
      </c>
      <c r="G105" s="79">
        <v>0</v>
      </c>
      <c r="H105" s="79">
        <v>0</v>
      </c>
      <c r="I105" s="79">
        <v>0</v>
      </c>
      <c r="J105" s="79">
        <v>0</v>
      </c>
      <c r="K105" s="79">
        <v>0</v>
      </c>
      <c r="L105" s="79">
        <v>0</v>
      </c>
      <c r="M105" s="79">
        <v>0</v>
      </c>
      <c r="N105" s="79">
        <v>0</v>
      </c>
      <c r="O105" s="79">
        <v>0</v>
      </c>
      <c r="P105" s="79">
        <v>0</v>
      </c>
      <c r="Q105" s="79">
        <v>0</v>
      </c>
      <c r="R105" s="79">
        <v>0</v>
      </c>
      <c r="S105" s="79">
        <v>0</v>
      </c>
      <c r="T105" s="79">
        <v>0</v>
      </c>
      <c r="U105" s="79">
        <v>0</v>
      </c>
      <c r="V105" s="79">
        <v>0</v>
      </c>
      <c r="W105" s="79">
        <v>0</v>
      </c>
      <c r="X105" s="79">
        <v>0</v>
      </c>
      <c r="Y105" s="79">
        <v>0</v>
      </c>
      <c r="Z105" s="79">
        <v>0</v>
      </c>
      <c r="AA105" s="79">
        <v>0</v>
      </c>
    </row>
  </sheetData>
  <conditionalFormatting sqref="C6:AD6">
    <cfRule type="cellIs" dxfId="198" priority="3" operator="notBetween">
      <formula>-0.005</formula>
      <formula>0.005</formula>
    </cfRule>
    <cfRule type="cellIs" dxfId="197" priority="4" operator="between">
      <formula>-0.005</formula>
      <formula>0.005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B1:AD105"/>
  <sheetViews>
    <sheetView topLeftCell="B5" workbookViewId="0">
      <pane xSplit="1" ySplit="5" topLeftCell="S43" activePane="bottomRight" state="frozen"/>
      <selection activeCell="B5" sqref="B5"/>
      <selection pane="topRight" activeCell="C5" sqref="C5"/>
      <selection pane="bottomLeft" activeCell="B10" sqref="B10"/>
      <selection pane="bottomRight" activeCell="B7" sqref="B7:Z105"/>
    </sheetView>
  </sheetViews>
  <sheetFormatPr defaultRowHeight="15" x14ac:dyDescent="0.25"/>
  <cols>
    <col min="1" max="1" width="9.140625" style="79"/>
    <col min="2" max="2" width="11.7109375" style="79" customWidth="1"/>
    <col min="3" max="15" width="13.7109375" style="79" customWidth="1"/>
    <col min="16" max="16384" width="9.140625" style="79"/>
  </cols>
  <sheetData>
    <row r="1" spans="2:30" ht="18.75" x14ac:dyDescent="0.3">
      <c r="B1" s="56" t="s">
        <v>139</v>
      </c>
    </row>
    <row r="2" spans="2:30" ht="18.75" x14ac:dyDescent="0.3">
      <c r="B2" s="56" t="s">
        <v>140</v>
      </c>
      <c r="G2" s="79" t="s">
        <v>143</v>
      </c>
      <c r="H2" s="79" t="s">
        <v>143</v>
      </c>
    </row>
    <row r="3" spans="2:30" ht="18.75" x14ac:dyDescent="0.3">
      <c r="B3" s="56"/>
    </row>
    <row r="4" spans="2:30" ht="18.75" x14ac:dyDescent="0.3">
      <c r="B4" s="56"/>
    </row>
    <row r="5" spans="2:30" x14ac:dyDescent="0.25">
      <c r="B5" s="79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79">
        <v>18</v>
      </c>
      <c r="T5" s="79">
        <v>19</v>
      </c>
      <c r="U5" s="79">
        <v>20</v>
      </c>
      <c r="V5" s="79">
        <v>21</v>
      </c>
      <c r="W5" s="79">
        <v>22</v>
      </c>
      <c r="X5" s="79">
        <v>23</v>
      </c>
      <c r="Y5" s="79">
        <v>24</v>
      </c>
      <c r="Z5" s="79">
        <v>25</v>
      </c>
    </row>
    <row r="6" spans="2:30" x14ac:dyDescent="0.25">
      <c r="C6" s="60">
        <f>SUM(C10:C104)</f>
        <v>4.6156856114976108E-11</v>
      </c>
      <c r="D6" s="60">
        <f t="shared" ref="D6:AD6" si="0">SUM(D10:D104)</f>
        <v>3.1150193535722792E-11</v>
      </c>
      <c r="E6" s="60">
        <f t="shared" si="0"/>
        <v>2.6830093702301383E-11</v>
      </c>
      <c r="F6" s="60">
        <f t="shared" si="0"/>
        <v>-4.8203219193965197E-11</v>
      </c>
      <c r="G6" s="60">
        <f t="shared" si="0"/>
        <v>1.5916157281026244E-11</v>
      </c>
      <c r="H6" s="60">
        <f t="shared" si="0"/>
        <v>-7.73070496506989E-12</v>
      </c>
      <c r="I6" s="60">
        <f t="shared" si="0"/>
        <v>8.8220986071974039E-11</v>
      </c>
      <c r="J6" s="60">
        <f t="shared" si="0"/>
        <v>2.4920154828578234E-10</v>
      </c>
      <c r="K6" s="60">
        <f t="shared" si="0"/>
        <v>-7.4578565545380116E-11</v>
      </c>
      <c r="L6" s="60">
        <f t="shared" si="0"/>
        <v>1.8826540326699615E-10</v>
      </c>
      <c r="M6" s="60">
        <f t="shared" si="0"/>
        <v>3.2014213502407074E-10</v>
      </c>
      <c r="N6" s="60">
        <f t="shared" si="0"/>
        <v>1.1186784831807017E-10</v>
      </c>
      <c r="O6" s="60">
        <f t="shared" si="0"/>
        <v>4.6156856114976108E-11</v>
      </c>
      <c r="P6" s="60">
        <f t="shared" si="0"/>
        <v>-7.73070496506989E-12</v>
      </c>
      <c r="Q6" s="60">
        <f t="shared" si="0"/>
        <v>1.7564616427989677E-11</v>
      </c>
      <c r="R6" s="60">
        <f t="shared" si="0"/>
        <v>-3.637978807091713E-12</v>
      </c>
      <c r="S6" s="60">
        <f t="shared" si="0"/>
        <v>1.0629719326971099E-11</v>
      </c>
      <c r="T6" s="60">
        <f t="shared" si="0"/>
        <v>-1.0516032489249483E-11</v>
      </c>
      <c r="U6" s="60">
        <f t="shared" si="0"/>
        <v>-2.6091129257110879E-11</v>
      </c>
      <c r="V6" s="60">
        <f t="shared" si="0"/>
        <v>1.0913936421275139E-11</v>
      </c>
      <c r="W6" s="60">
        <f t="shared" si="0"/>
        <v>2.4670043785590678E-11</v>
      </c>
      <c r="X6" s="60">
        <f t="shared" si="0"/>
        <v>-2.7171154215466231E-11</v>
      </c>
      <c r="Y6" s="60">
        <f t="shared" si="0"/>
        <v>2.4215296434704214E-11</v>
      </c>
      <c r="Z6" s="60">
        <f t="shared" si="0"/>
        <v>1.0345502232667059E-11</v>
      </c>
      <c r="AA6" s="60">
        <f t="shared" si="0"/>
        <v>0</v>
      </c>
      <c r="AB6" s="60">
        <f t="shared" si="0"/>
        <v>0</v>
      </c>
      <c r="AC6" s="60">
        <f t="shared" si="0"/>
        <v>0</v>
      </c>
      <c r="AD6" s="60">
        <f t="shared" si="0"/>
        <v>0</v>
      </c>
    </row>
    <row r="7" spans="2:30" x14ac:dyDescent="0.25">
      <c r="B7" s="84">
        <v>1</v>
      </c>
      <c r="C7" s="79" t="s">
        <v>1</v>
      </c>
      <c r="D7" s="79" t="s">
        <v>1</v>
      </c>
      <c r="E7" s="79" t="s">
        <v>1</v>
      </c>
      <c r="F7" s="79" t="s">
        <v>1</v>
      </c>
      <c r="G7" s="79" t="s">
        <v>1</v>
      </c>
      <c r="H7" s="79" t="s">
        <v>1</v>
      </c>
      <c r="I7" s="79" t="s">
        <v>1</v>
      </c>
      <c r="J7" s="79" t="s">
        <v>1</v>
      </c>
      <c r="K7" s="79" t="s">
        <v>1</v>
      </c>
      <c r="L7" s="79" t="s">
        <v>1</v>
      </c>
      <c r="M7" s="79" t="s">
        <v>1</v>
      </c>
      <c r="N7" s="79" t="s">
        <v>1</v>
      </c>
      <c r="O7" s="79" t="s">
        <v>84</v>
      </c>
      <c r="P7" s="79" t="s">
        <v>84</v>
      </c>
      <c r="Q7" s="79" t="s">
        <v>84</v>
      </c>
      <c r="R7" s="79" t="s">
        <v>84</v>
      </c>
      <c r="S7" s="79" t="s">
        <v>84</v>
      </c>
      <c r="T7" s="79" t="s">
        <v>84</v>
      </c>
      <c r="U7" s="79" t="s">
        <v>84</v>
      </c>
      <c r="V7" s="79" t="s">
        <v>84</v>
      </c>
      <c r="W7" s="79" t="s">
        <v>84</v>
      </c>
      <c r="X7" s="79" t="s">
        <v>84</v>
      </c>
      <c r="Y7" s="79" t="s">
        <v>84</v>
      </c>
      <c r="Z7" s="79" t="s">
        <v>84</v>
      </c>
    </row>
    <row r="8" spans="2:30" x14ac:dyDescent="0.25">
      <c r="B8" s="84">
        <v>2</v>
      </c>
      <c r="C8" s="79" t="s">
        <v>291</v>
      </c>
      <c r="D8" s="79" t="s">
        <v>292</v>
      </c>
      <c r="E8" s="79" t="s">
        <v>293</v>
      </c>
      <c r="F8" s="79" t="s">
        <v>294</v>
      </c>
      <c r="G8" s="79" t="s">
        <v>295</v>
      </c>
      <c r="H8" s="79" t="s">
        <v>296</v>
      </c>
      <c r="I8" s="79" t="s">
        <v>297</v>
      </c>
      <c r="J8" s="79" t="s">
        <v>298</v>
      </c>
      <c r="K8" s="79" t="s">
        <v>299</v>
      </c>
      <c r="L8" s="79" t="s">
        <v>300</v>
      </c>
      <c r="M8" s="79" t="s">
        <v>301</v>
      </c>
      <c r="N8" s="79" t="s">
        <v>302</v>
      </c>
      <c r="O8" s="79" t="s">
        <v>291</v>
      </c>
      <c r="P8" s="79" t="s">
        <v>292</v>
      </c>
      <c r="Q8" s="79" t="s">
        <v>293</v>
      </c>
      <c r="R8" s="79" t="s">
        <v>294</v>
      </c>
      <c r="S8" s="79" t="s">
        <v>295</v>
      </c>
      <c r="T8" s="79" t="s">
        <v>296</v>
      </c>
      <c r="U8" s="79" t="s">
        <v>297</v>
      </c>
      <c r="V8" s="79" t="s">
        <v>298</v>
      </c>
      <c r="W8" s="79" t="s">
        <v>299</v>
      </c>
      <c r="X8" s="79" t="s">
        <v>300</v>
      </c>
      <c r="Y8" s="79" t="s">
        <v>301</v>
      </c>
      <c r="Z8" s="79" t="s">
        <v>302</v>
      </c>
    </row>
    <row r="9" spans="2:30" x14ac:dyDescent="0.25">
      <c r="B9" s="84">
        <v>3</v>
      </c>
      <c r="C9" s="79" t="s">
        <v>303</v>
      </c>
      <c r="D9" s="79" t="s">
        <v>304</v>
      </c>
      <c r="E9" s="79" t="s">
        <v>305</v>
      </c>
      <c r="F9" s="79" t="s">
        <v>306</v>
      </c>
      <c r="G9" s="79" t="s">
        <v>307</v>
      </c>
      <c r="H9" s="79" t="s">
        <v>308</v>
      </c>
      <c r="I9" s="79" t="s">
        <v>309</v>
      </c>
      <c r="J9" s="79" t="s">
        <v>310</v>
      </c>
      <c r="K9" s="79" t="s">
        <v>311</v>
      </c>
      <c r="L9" s="79" t="s">
        <v>312</v>
      </c>
      <c r="M9" s="79" t="s">
        <v>313</v>
      </c>
      <c r="N9" s="79" t="s">
        <v>314</v>
      </c>
      <c r="O9" s="79" t="s">
        <v>315</v>
      </c>
      <c r="P9" s="79" t="s">
        <v>316</v>
      </c>
      <c r="Q9" s="79" t="s">
        <v>317</v>
      </c>
      <c r="R9" s="79" t="s">
        <v>318</v>
      </c>
      <c r="S9" s="79" t="s">
        <v>414</v>
      </c>
      <c r="T9" s="79" t="s">
        <v>415</v>
      </c>
      <c r="U9" s="79" t="s">
        <v>421</v>
      </c>
      <c r="V9" s="79" t="s">
        <v>422</v>
      </c>
      <c r="W9" s="79" t="s">
        <v>423</v>
      </c>
      <c r="X9" s="79" t="s">
        <v>431</v>
      </c>
      <c r="Y9" s="79" t="s">
        <v>432</v>
      </c>
      <c r="Z9" s="79" t="s">
        <v>424</v>
      </c>
    </row>
    <row r="10" spans="2:30" x14ac:dyDescent="0.25">
      <c r="B10" s="84" t="s">
        <v>368</v>
      </c>
    </row>
    <row r="11" spans="2:30" x14ac:dyDescent="0.25">
      <c r="B11" s="84" t="s">
        <v>218</v>
      </c>
    </row>
    <row r="12" spans="2:30" x14ac:dyDescent="0.25">
      <c r="B12" s="84" t="s">
        <v>219</v>
      </c>
      <c r="D12" s="79">
        <v>-687.54</v>
      </c>
      <c r="E12" s="79">
        <v>-687.54</v>
      </c>
      <c r="F12" s="79">
        <v>-687.54</v>
      </c>
      <c r="G12" s="79">
        <v>-687.54</v>
      </c>
      <c r="H12" s="79">
        <v>-687.54</v>
      </c>
      <c r="I12" s="79">
        <v>-687.54</v>
      </c>
      <c r="J12" s="79">
        <v>-687.54</v>
      </c>
      <c r="K12" s="79">
        <v>-687.54</v>
      </c>
      <c r="L12" s="79">
        <v>-687.54</v>
      </c>
      <c r="M12" s="79">
        <v>-687.54</v>
      </c>
      <c r="N12" s="79">
        <v>-687.54</v>
      </c>
      <c r="P12" s="79">
        <v>-687.54</v>
      </c>
    </row>
    <row r="13" spans="2:30" x14ac:dyDescent="0.25">
      <c r="B13" s="84" t="s">
        <v>220</v>
      </c>
    </row>
    <row r="14" spans="2:30" x14ac:dyDescent="0.25">
      <c r="B14" s="84" t="s">
        <v>221</v>
      </c>
    </row>
    <row r="15" spans="2:30" x14ac:dyDescent="0.25">
      <c r="B15" s="84" t="s">
        <v>222</v>
      </c>
    </row>
    <row r="16" spans="2:30" x14ac:dyDescent="0.25">
      <c r="B16" s="84" t="s">
        <v>119</v>
      </c>
      <c r="C16" s="79">
        <v>-25646.21</v>
      </c>
      <c r="D16" s="79">
        <v>-33540.870000000003</v>
      </c>
      <c r="E16" s="79">
        <v>16782.64</v>
      </c>
      <c r="F16" s="79">
        <v>26472.880000000001</v>
      </c>
      <c r="G16" s="79">
        <v>8007.5</v>
      </c>
      <c r="H16" s="79">
        <v>26661.54</v>
      </c>
      <c r="I16" s="79">
        <v>45186.68</v>
      </c>
      <c r="J16" s="79">
        <v>36547.42</v>
      </c>
      <c r="K16" s="79">
        <v>34415.4</v>
      </c>
      <c r="L16" s="79">
        <v>65601.31</v>
      </c>
      <c r="M16" s="79">
        <v>127609.63</v>
      </c>
      <c r="N16" s="79">
        <v>99149.06</v>
      </c>
      <c r="O16" s="79">
        <v>-25646.21</v>
      </c>
      <c r="P16" s="79">
        <v>-7894.66</v>
      </c>
      <c r="Q16" s="79">
        <v>50323.51</v>
      </c>
      <c r="R16" s="79">
        <v>9690.24</v>
      </c>
      <c r="S16" s="79">
        <v>-18465.38</v>
      </c>
      <c r="T16" s="79">
        <v>18654.04</v>
      </c>
      <c r="U16" s="79">
        <v>18525.14</v>
      </c>
      <c r="V16" s="79">
        <v>-8639.26</v>
      </c>
      <c r="W16" s="79">
        <v>-2132.02</v>
      </c>
      <c r="X16" s="79">
        <v>31185.91</v>
      </c>
      <c r="Y16" s="79">
        <v>62008.32</v>
      </c>
      <c r="Z16" s="79">
        <v>-28460.57</v>
      </c>
    </row>
    <row r="17" spans="2:26" x14ac:dyDescent="0.25">
      <c r="B17" s="84" t="s">
        <v>406</v>
      </c>
    </row>
    <row r="18" spans="2:26" x14ac:dyDescent="0.25">
      <c r="B18" s="84" t="s">
        <v>118</v>
      </c>
      <c r="C18" s="79">
        <v>-60958.94</v>
      </c>
      <c r="D18" s="79">
        <v>26955.79</v>
      </c>
      <c r="E18" s="79">
        <v>95867.88</v>
      </c>
      <c r="F18" s="79">
        <v>50291.360000000001</v>
      </c>
      <c r="G18" s="79">
        <v>86063</v>
      </c>
      <c r="H18" s="79">
        <v>37771.33</v>
      </c>
      <c r="I18" s="79">
        <v>-24450.1</v>
      </c>
      <c r="J18" s="79">
        <v>37268.36</v>
      </c>
      <c r="K18" s="79">
        <v>173481.23</v>
      </c>
      <c r="L18" s="79">
        <v>97197.759999999995</v>
      </c>
      <c r="M18" s="79">
        <v>26437.24</v>
      </c>
      <c r="N18" s="79">
        <v>105008.08</v>
      </c>
      <c r="O18" s="79">
        <v>-60958.94</v>
      </c>
      <c r="P18" s="79">
        <v>87914.73</v>
      </c>
      <c r="Q18" s="79">
        <v>68912.09</v>
      </c>
      <c r="R18" s="79">
        <v>-45576.52</v>
      </c>
      <c r="S18" s="79">
        <v>35771.64</v>
      </c>
      <c r="T18" s="79">
        <v>-48291.67</v>
      </c>
      <c r="U18" s="79">
        <v>-62221.43</v>
      </c>
      <c r="V18" s="79">
        <v>61718.46</v>
      </c>
      <c r="W18" s="79">
        <v>136212.87</v>
      </c>
      <c r="X18" s="79">
        <v>-76283.47</v>
      </c>
      <c r="Y18" s="79">
        <v>-70760.52</v>
      </c>
      <c r="Z18" s="79">
        <v>78570.84</v>
      </c>
    </row>
    <row r="19" spans="2:26" x14ac:dyDescent="0.25">
      <c r="B19" s="84" t="s">
        <v>407</v>
      </c>
    </row>
    <row r="20" spans="2:26" x14ac:dyDescent="0.25">
      <c r="B20" s="84" t="s">
        <v>282</v>
      </c>
    </row>
    <row r="21" spans="2:26" x14ac:dyDescent="0.25">
      <c r="B21" s="84" t="s">
        <v>319</v>
      </c>
      <c r="F21" s="79">
        <v>-1000</v>
      </c>
      <c r="G21" s="79">
        <v>-1000</v>
      </c>
      <c r="H21" s="79">
        <v>-1000</v>
      </c>
      <c r="I21" s="79">
        <v>-1000</v>
      </c>
      <c r="J21" s="79">
        <v>-1000</v>
      </c>
      <c r="K21" s="79">
        <v>0</v>
      </c>
      <c r="L21" s="79">
        <v>0</v>
      </c>
      <c r="M21" s="79">
        <v>0</v>
      </c>
      <c r="N21" s="79">
        <v>0</v>
      </c>
      <c r="R21" s="79">
        <v>-1000</v>
      </c>
      <c r="W21" s="79">
        <v>1000</v>
      </c>
    </row>
    <row r="22" spans="2:26" x14ac:dyDescent="0.25">
      <c r="B22" s="84" t="s">
        <v>408</v>
      </c>
    </row>
    <row r="23" spans="2:26" x14ac:dyDescent="0.25">
      <c r="B23" s="84" t="s">
        <v>223</v>
      </c>
      <c r="E23" s="79">
        <v>-1479.2</v>
      </c>
      <c r="F23" s="79">
        <v>-1479.2</v>
      </c>
      <c r="G23" s="79">
        <v>-1479.2</v>
      </c>
      <c r="H23" s="79">
        <v>-1479.2</v>
      </c>
      <c r="I23" s="79">
        <v>-1479.2</v>
      </c>
      <c r="J23" s="79">
        <v>-1479.2</v>
      </c>
      <c r="K23" s="79">
        <v>-1479.2</v>
      </c>
      <c r="L23" s="79">
        <v>-1479.2</v>
      </c>
      <c r="M23" s="79">
        <v>-1479.2</v>
      </c>
      <c r="N23" s="79">
        <v>-1479.2</v>
      </c>
      <c r="Q23" s="79">
        <v>-1479.2</v>
      </c>
    </row>
    <row r="24" spans="2:26" x14ac:dyDescent="0.25">
      <c r="B24" s="84" t="s">
        <v>320</v>
      </c>
      <c r="D24" s="79">
        <v>-822.24</v>
      </c>
      <c r="E24" s="79">
        <v>-822.24</v>
      </c>
      <c r="F24" s="79">
        <v>-822.24</v>
      </c>
      <c r="G24" s="79">
        <v>-822.24</v>
      </c>
      <c r="H24" s="79">
        <v>-822.24</v>
      </c>
      <c r="I24" s="79">
        <v>-822.24</v>
      </c>
      <c r="J24" s="79">
        <v>-822.24</v>
      </c>
      <c r="K24" s="79">
        <v>-822.24</v>
      </c>
      <c r="L24" s="79">
        <v>-822.24</v>
      </c>
      <c r="M24" s="79">
        <v>-822.24</v>
      </c>
      <c r="N24" s="79">
        <v>-822.24</v>
      </c>
      <c r="P24" s="79">
        <v>-822.24</v>
      </c>
    </row>
    <row r="25" spans="2:26" x14ac:dyDescent="0.25">
      <c r="B25" s="84" t="s">
        <v>117</v>
      </c>
      <c r="C25" s="79">
        <v>-468.84</v>
      </c>
      <c r="D25" s="79">
        <v>-657.24</v>
      </c>
      <c r="E25" s="79">
        <v>-57244.24</v>
      </c>
      <c r="F25" s="79">
        <v>-57392.67</v>
      </c>
      <c r="G25" s="79">
        <v>-57463.88</v>
      </c>
      <c r="H25" s="79">
        <v>-57701.98</v>
      </c>
      <c r="I25" s="79">
        <v>-58009.78</v>
      </c>
      <c r="J25" s="79">
        <v>-58433.17</v>
      </c>
      <c r="K25" s="79">
        <v>-58870.97</v>
      </c>
      <c r="L25" s="79">
        <v>-59536.1</v>
      </c>
      <c r="M25" s="79">
        <v>-61455.66</v>
      </c>
      <c r="N25" s="79">
        <v>-61840.58</v>
      </c>
      <c r="O25" s="79">
        <v>-468.84</v>
      </c>
      <c r="P25" s="79">
        <v>-188.4</v>
      </c>
      <c r="Q25" s="79">
        <v>-56587</v>
      </c>
      <c r="R25" s="79">
        <v>-148.43</v>
      </c>
      <c r="S25" s="79">
        <v>-71.209999999999994</v>
      </c>
      <c r="T25" s="79">
        <v>-238.1</v>
      </c>
      <c r="U25" s="79">
        <v>-307.8</v>
      </c>
      <c r="V25" s="79">
        <v>-423.39</v>
      </c>
      <c r="W25" s="79">
        <v>-437.8</v>
      </c>
      <c r="X25" s="79">
        <v>-665.13</v>
      </c>
      <c r="Y25" s="79">
        <v>-1919.56</v>
      </c>
      <c r="Z25" s="79">
        <v>-384.92</v>
      </c>
    </row>
    <row r="26" spans="2:26" x14ac:dyDescent="0.25">
      <c r="B26" s="84" t="s">
        <v>116</v>
      </c>
      <c r="C26" s="79">
        <v>70576.88</v>
      </c>
      <c r="D26" s="79">
        <v>57733.83</v>
      </c>
      <c r="E26" s="79">
        <v>63333.21</v>
      </c>
      <c r="F26" s="79">
        <v>73687.199999999997</v>
      </c>
      <c r="G26" s="79">
        <v>103116.74</v>
      </c>
      <c r="H26" s="79">
        <v>55666.35</v>
      </c>
      <c r="I26" s="79">
        <v>80798.38</v>
      </c>
      <c r="J26" s="79">
        <v>68028.600000000006</v>
      </c>
      <c r="K26" s="79">
        <v>8858.2000000000007</v>
      </c>
      <c r="L26" s="79">
        <v>31712.240000000002</v>
      </c>
      <c r="M26" s="79">
        <v>104727.23</v>
      </c>
      <c r="N26" s="79">
        <v>-92833.34</v>
      </c>
      <c r="O26" s="79">
        <v>70576.88</v>
      </c>
      <c r="P26" s="79">
        <v>-12843.05</v>
      </c>
      <c r="Q26" s="79">
        <v>5599.38</v>
      </c>
      <c r="R26" s="79">
        <v>10353.99</v>
      </c>
      <c r="S26" s="79">
        <v>29429.54</v>
      </c>
      <c r="T26" s="79">
        <v>-47450.39</v>
      </c>
      <c r="U26" s="79">
        <v>25132.03</v>
      </c>
      <c r="V26" s="79">
        <v>-12769.78</v>
      </c>
      <c r="W26" s="79">
        <v>-59170.400000000001</v>
      </c>
      <c r="X26" s="79">
        <v>22854.04</v>
      </c>
      <c r="Y26" s="79">
        <v>73014.990000000005</v>
      </c>
      <c r="Z26" s="79">
        <v>-197560.57</v>
      </c>
    </row>
    <row r="27" spans="2:26" x14ac:dyDescent="0.25">
      <c r="B27" s="84" t="s">
        <v>144</v>
      </c>
      <c r="C27" s="79">
        <v>0</v>
      </c>
      <c r="D27" s="79">
        <v>0</v>
      </c>
      <c r="E27" s="79">
        <v>0</v>
      </c>
      <c r="F27" s="79">
        <v>-663.24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  <c r="O27" s="79">
        <v>0</v>
      </c>
      <c r="P27" s="79">
        <v>0</v>
      </c>
      <c r="Q27" s="79">
        <v>0</v>
      </c>
      <c r="R27" s="79">
        <v>-663.24</v>
      </c>
      <c r="S27" s="79">
        <v>663.24</v>
      </c>
      <c r="T27" s="79">
        <v>0</v>
      </c>
      <c r="U27" s="79">
        <v>0</v>
      </c>
      <c r="V27" s="79">
        <v>0</v>
      </c>
      <c r="W27" s="79">
        <v>0</v>
      </c>
      <c r="X27" s="79">
        <v>0</v>
      </c>
      <c r="Y27" s="79">
        <v>0</v>
      </c>
      <c r="Z27" s="79">
        <v>0</v>
      </c>
    </row>
    <row r="28" spans="2:26" x14ac:dyDescent="0.25">
      <c r="B28" s="84" t="s">
        <v>224</v>
      </c>
      <c r="F28" s="79">
        <v>0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0</v>
      </c>
      <c r="M28" s="79">
        <v>0</v>
      </c>
      <c r="N28" s="79">
        <v>0</v>
      </c>
      <c r="R28" s="79">
        <v>0</v>
      </c>
      <c r="T28" s="79">
        <v>0</v>
      </c>
    </row>
    <row r="29" spans="2:26" x14ac:dyDescent="0.25">
      <c r="B29" s="84" t="s">
        <v>225</v>
      </c>
      <c r="C29" s="79">
        <v>12178.72</v>
      </c>
      <c r="D29" s="79">
        <v>-19570.75</v>
      </c>
      <c r="E29" s="79">
        <v>22964.75</v>
      </c>
      <c r="F29" s="79">
        <v>1884.75</v>
      </c>
      <c r="G29" s="79">
        <v>-25914.76</v>
      </c>
      <c r="H29" s="79">
        <v>40340.400000000001</v>
      </c>
      <c r="I29" s="79">
        <v>24510.82</v>
      </c>
      <c r="J29" s="79">
        <v>-20393.7</v>
      </c>
      <c r="K29" s="79">
        <v>46829.27</v>
      </c>
      <c r="L29" s="79">
        <v>44381.52</v>
      </c>
      <c r="M29" s="79">
        <v>-5972.35</v>
      </c>
      <c r="N29" s="79">
        <v>26124.5</v>
      </c>
      <c r="O29" s="79">
        <v>12178.72</v>
      </c>
      <c r="P29" s="79">
        <v>-31749.47</v>
      </c>
      <c r="Q29" s="79">
        <v>42535.5</v>
      </c>
      <c r="R29" s="79">
        <v>-21080</v>
      </c>
      <c r="S29" s="79">
        <v>-27799.51</v>
      </c>
      <c r="T29" s="79">
        <v>66255.16</v>
      </c>
      <c r="U29" s="79">
        <v>-15829.58</v>
      </c>
      <c r="V29" s="79">
        <v>-44904.52</v>
      </c>
      <c r="W29" s="79">
        <v>67222.97</v>
      </c>
      <c r="X29" s="79">
        <v>-2447.75</v>
      </c>
      <c r="Y29" s="79">
        <v>-50353.87</v>
      </c>
      <c r="Z29" s="79">
        <v>32096.85</v>
      </c>
    </row>
    <row r="30" spans="2:26" x14ac:dyDescent="0.25">
      <c r="B30" s="84" t="s">
        <v>115</v>
      </c>
    </row>
    <row r="31" spans="2:26" x14ac:dyDescent="0.25">
      <c r="B31" s="84" t="s">
        <v>226</v>
      </c>
    </row>
    <row r="32" spans="2:26" x14ac:dyDescent="0.25">
      <c r="B32" s="84" t="s">
        <v>227</v>
      </c>
      <c r="C32" s="79">
        <v>0</v>
      </c>
      <c r="D32" s="79">
        <v>0</v>
      </c>
      <c r="E32" s="79">
        <v>72.03</v>
      </c>
      <c r="F32" s="79">
        <v>136.65</v>
      </c>
      <c r="G32" s="79">
        <v>196.35</v>
      </c>
      <c r="H32" s="79">
        <v>150.81</v>
      </c>
      <c r="I32" s="79">
        <v>188.33</v>
      </c>
      <c r="J32" s="79">
        <v>110.11</v>
      </c>
      <c r="K32" s="79">
        <v>148.86000000000001</v>
      </c>
      <c r="L32" s="79">
        <v>133.29</v>
      </c>
      <c r="M32" s="79">
        <v>62.86</v>
      </c>
      <c r="N32" s="79">
        <v>151.41999999999999</v>
      </c>
      <c r="O32" s="79">
        <v>0</v>
      </c>
      <c r="P32" s="79">
        <v>0</v>
      </c>
      <c r="Q32" s="79">
        <v>72.03</v>
      </c>
      <c r="R32" s="79">
        <v>64.62</v>
      </c>
      <c r="S32" s="79">
        <v>59.7</v>
      </c>
      <c r="T32" s="79">
        <v>-45.54</v>
      </c>
      <c r="U32" s="79">
        <v>37.520000000000003</v>
      </c>
      <c r="V32" s="79">
        <v>-78.22</v>
      </c>
      <c r="W32" s="79">
        <v>38.75</v>
      </c>
      <c r="X32" s="79">
        <v>-15.57</v>
      </c>
      <c r="Y32" s="79">
        <v>-70.430000000000007</v>
      </c>
      <c r="Z32" s="79">
        <v>88.56</v>
      </c>
    </row>
    <row r="33" spans="2:26" x14ac:dyDescent="0.25">
      <c r="B33" s="84" t="s">
        <v>228</v>
      </c>
      <c r="C33" s="79">
        <v>0</v>
      </c>
      <c r="D33" s="79">
        <v>0</v>
      </c>
      <c r="E33" s="79">
        <v>41.86</v>
      </c>
      <c r="F33" s="79">
        <v>41.86</v>
      </c>
      <c r="G33" s="79">
        <v>71.52</v>
      </c>
      <c r="H33" s="79">
        <v>78.319999999999993</v>
      </c>
      <c r="I33" s="79">
        <v>0</v>
      </c>
      <c r="J33" s="79">
        <v>146.41</v>
      </c>
      <c r="K33" s="79">
        <v>42.9</v>
      </c>
      <c r="L33" s="79">
        <v>67.39</v>
      </c>
      <c r="M33" s="79">
        <v>51.02</v>
      </c>
      <c r="N33" s="79">
        <v>61.41</v>
      </c>
      <c r="O33" s="79">
        <v>0</v>
      </c>
      <c r="P33" s="79">
        <v>0</v>
      </c>
      <c r="Q33" s="79">
        <v>41.86</v>
      </c>
      <c r="R33" s="79">
        <v>0</v>
      </c>
      <c r="S33" s="79">
        <v>29.66</v>
      </c>
      <c r="T33" s="79">
        <v>6.8</v>
      </c>
      <c r="U33" s="79">
        <v>-78.319999999999993</v>
      </c>
      <c r="V33" s="79">
        <v>146.41</v>
      </c>
      <c r="W33" s="79">
        <v>-103.51</v>
      </c>
      <c r="X33" s="79">
        <v>24.49</v>
      </c>
      <c r="Y33" s="79">
        <v>-16.37</v>
      </c>
      <c r="Z33" s="79">
        <v>10.39</v>
      </c>
    </row>
    <row r="34" spans="2:26" x14ac:dyDescent="0.25">
      <c r="B34" s="84" t="s">
        <v>158</v>
      </c>
      <c r="C34" s="79">
        <v>407</v>
      </c>
      <c r="D34" s="79">
        <v>855.94</v>
      </c>
      <c r="E34" s="79">
        <v>93.6</v>
      </c>
      <c r="F34" s="79">
        <v>920.85</v>
      </c>
      <c r="G34" s="79">
        <v>0</v>
      </c>
      <c r="H34" s="79">
        <v>75.3</v>
      </c>
      <c r="I34" s="79">
        <v>0</v>
      </c>
      <c r="J34" s="79">
        <v>261.5</v>
      </c>
      <c r="K34" s="79">
        <v>108.47</v>
      </c>
      <c r="L34" s="79">
        <v>65</v>
      </c>
      <c r="M34" s="79">
        <v>76.42</v>
      </c>
      <c r="N34" s="79">
        <v>156.84</v>
      </c>
      <c r="O34" s="79">
        <v>407</v>
      </c>
      <c r="P34" s="79">
        <v>448.94</v>
      </c>
      <c r="Q34" s="79">
        <v>-762.34</v>
      </c>
      <c r="R34" s="79">
        <v>827.25</v>
      </c>
      <c r="S34" s="79">
        <v>-920.85</v>
      </c>
      <c r="T34" s="79">
        <v>75.3</v>
      </c>
      <c r="U34" s="79">
        <v>-75.3</v>
      </c>
      <c r="V34" s="79">
        <v>261.5</v>
      </c>
      <c r="W34" s="79">
        <v>-153.03</v>
      </c>
      <c r="X34" s="79">
        <v>-43.47</v>
      </c>
      <c r="Y34" s="79">
        <v>11.42</v>
      </c>
      <c r="Z34" s="79">
        <v>80.42</v>
      </c>
    </row>
    <row r="35" spans="2:26" x14ac:dyDescent="0.25">
      <c r="B35" s="84" t="s">
        <v>132</v>
      </c>
      <c r="C35" s="79">
        <v>-66738.97</v>
      </c>
      <c r="D35" s="79">
        <v>-66738.97</v>
      </c>
      <c r="E35" s="79">
        <v>-66738.97</v>
      </c>
      <c r="F35" s="79">
        <v>-66738.97</v>
      </c>
      <c r="G35" s="79">
        <v>-66738.97</v>
      </c>
      <c r="H35" s="79">
        <v>-66738.97</v>
      </c>
      <c r="I35" s="79">
        <v>-66738.97</v>
      </c>
      <c r="J35" s="79">
        <v>-66738.97</v>
      </c>
      <c r="K35" s="79">
        <v>-66738.97</v>
      </c>
      <c r="L35" s="79">
        <v>-66738.97</v>
      </c>
      <c r="M35" s="79">
        <v>-66738.97</v>
      </c>
      <c r="N35" s="79">
        <v>3421.7</v>
      </c>
      <c r="O35" s="79">
        <v>-66738.97</v>
      </c>
      <c r="P35" s="79">
        <v>0</v>
      </c>
      <c r="Q35" s="79">
        <v>0</v>
      </c>
      <c r="R35" s="79">
        <v>0</v>
      </c>
      <c r="S35" s="79">
        <v>0</v>
      </c>
      <c r="T35" s="79">
        <v>0</v>
      </c>
      <c r="U35" s="79">
        <v>0</v>
      </c>
      <c r="V35" s="79">
        <v>0</v>
      </c>
      <c r="W35" s="79">
        <v>0</v>
      </c>
      <c r="X35" s="79">
        <v>0</v>
      </c>
      <c r="Y35" s="79">
        <v>0</v>
      </c>
      <c r="Z35" s="79">
        <v>70160.67</v>
      </c>
    </row>
    <row r="36" spans="2:26" x14ac:dyDescent="0.25">
      <c r="B36" s="84" t="s">
        <v>159</v>
      </c>
      <c r="C36" s="79">
        <v>0</v>
      </c>
      <c r="D36" s="79">
        <v>0</v>
      </c>
      <c r="E36" s="79">
        <v>0</v>
      </c>
      <c r="F36" s="79">
        <v>0</v>
      </c>
      <c r="G36" s="79">
        <v>0.01</v>
      </c>
      <c r="H36" s="79">
        <v>0.01</v>
      </c>
      <c r="I36" s="79">
        <v>0.01</v>
      </c>
      <c r="J36" s="79">
        <v>0.02</v>
      </c>
      <c r="K36" s="79">
        <v>0.02</v>
      </c>
      <c r="L36" s="79">
        <v>0.03</v>
      </c>
      <c r="M36" s="79">
        <v>0.03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S36" s="79">
        <v>0.01</v>
      </c>
      <c r="T36" s="79">
        <v>0</v>
      </c>
      <c r="U36" s="79">
        <v>0</v>
      </c>
      <c r="V36" s="79">
        <v>0.01</v>
      </c>
      <c r="W36" s="79">
        <v>0</v>
      </c>
      <c r="X36" s="79">
        <v>0.01</v>
      </c>
      <c r="Y36" s="79">
        <v>0</v>
      </c>
      <c r="Z36" s="79">
        <v>-0.03</v>
      </c>
    </row>
    <row r="37" spans="2:26" x14ac:dyDescent="0.25">
      <c r="B37" s="84" t="s">
        <v>160</v>
      </c>
      <c r="C37" s="79">
        <v>-13471.18</v>
      </c>
      <c r="D37" s="79">
        <v>-59523.81</v>
      </c>
      <c r="E37" s="79">
        <v>-95495.03</v>
      </c>
      <c r="F37" s="79">
        <v>-131466.25</v>
      </c>
      <c r="G37" s="79">
        <v>-45805.07</v>
      </c>
      <c r="H37" s="79">
        <v>-64198.69</v>
      </c>
      <c r="I37" s="79">
        <v>-125510.77</v>
      </c>
      <c r="J37" s="79">
        <v>-189205.04</v>
      </c>
      <c r="K37" s="79">
        <v>-189205.04</v>
      </c>
      <c r="L37" s="79">
        <v>-189205.04</v>
      </c>
      <c r="M37" s="79">
        <v>-252899.31</v>
      </c>
      <c r="N37" s="79">
        <v>-252899.31</v>
      </c>
      <c r="O37" s="79">
        <v>-13471.18</v>
      </c>
      <c r="P37" s="79">
        <v>-46052.63</v>
      </c>
      <c r="Q37" s="79">
        <v>-35971.22</v>
      </c>
      <c r="R37" s="79">
        <v>-35971.22</v>
      </c>
      <c r="S37" s="79">
        <v>85661.18</v>
      </c>
      <c r="T37" s="79">
        <v>-18393.62</v>
      </c>
      <c r="U37" s="79">
        <v>-61312.08</v>
      </c>
      <c r="V37" s="79">
        <v>-63694.27</v>
      </c>
      <c r="W37" s="79">
        <v>0</v>
      </c>
      <c r="X37" s="79">
        <v>0</v>
      </c>
      <c r="Y37" s="79">
        <v>-63694.27</v>
      </c>
    </row>
    <row r="38" spans="2:26" x14ac:dyDescent="0.25">
      <c r="B38" s="84" t="s">
        <v>161</v>
      </c>
      <c r="C38" s="79">
        <v>18750</v>
      </c>
      <c r="D38" s="79">
        <v>62500</v>
      </c>
      <c r="E38" s="79">
        <v>100000</v>
      </c>
      <c r="F38" s="79">
        <v>137500</v>
      </c>
      <c r="G38" s="79">
        <v>56250</v>
      </c>
      <c r="H38" s="79">
        <v>75000</v>
      </c>
      <c r="I38" s="79">
        <v>137500</v>
      </c>
      <c r="J38" s="79">
        <v>200000</v>
      </c>
      <c r="K38" s="79">
        <v>197699.59</v>
      </c>
      <c r="L38" s="79">
        <v>194925.44</v>
      </c>
      <c r="M38" s="79">
        <v>257425.44</v>
      </c>
      <c r="N38" s="79">
        <v>257425.44</v>
      </c>
      <c r="O38" s="79">
        <v>18750</v>
      </c>
      <c r="P38" s="79">
        <v>43750</v>
      </c>
      <c r="Q38" s="79">
        <v>37500</v>
      </c>
      <c r="R38" s="79">
        <v>37500</v>
      </c>
      <c r="S38" s="79">
        <v>-81250</v>
      </c>
      <c r="T38" s="79">
        <v>18750</v>
      </c>
      <c r="U38" s="79">
        <v>62500</v>
      </c>
      <c r="V38" s="79">
        <v>62500</v>
      </c>
      <c r="W38" s="79">
        <v>-2300.41</v>
      </c>
      <c r="X38" s="79">
        <v>-2774.15</v>
      </c>
      <c r="Y38" s="79">
        <v>62500</v>
      </c>
    </row>
    <row r="39" spans="2:26" x14ac:dyDescent="0.25">
      <c r="B39" s="84" t="s">
        <v>162</v>
      </c>
      <c r="C39" s="79">
        <v>1620</v>
      </c>
      <c r="D39" s="79">
        <v>0</v>
      </c>
      <c r="E39" s="79">
        <v>0</v>
      </c>
      <c r="F39" s="79">
        <v>0</v>
      </c>
      <c r="G39" s="79">
        <v>-7617.31</v>
      </c>
      <c r="H39" s="79">
        <v>-2848.83</v>
      </c>
      <c r="I39" s="79">
        <v>-32278.51</v>
      </c>
      <c r="J39" s="79">
        <v>-51301.65</v>
      </c>
      <c r="K39" s="79">
        <v>-46108.83</v>
      </c>
      <c r="L39" s="79">
        <v>-66283.149999999994</v>
      </c>
      <c r="M39" s="79">
        <v>-62799.58</v>
      </c>
      <c r="N39" s="79">
        <v>-55260.27</v>
      </c>
      <c r="O39" s="79">
        <v>1620</v>
      </c>
      <c r="P39" s="79">
        <v>-1620</v>
      </c>
      <c r="Q39" s="79">
        <v>0</v>
      </c>
      <c r="R39" s="79">
        <v>0</v>
      </c>
      <c r="S39" s="79">
        <v>-7617.31</v>
      </c>
      <c r="T39" s="79">
        <v>4768.4799999999996</v>
      </c>
      <c r="U39" s="79">
        <v>-29429.68</v>
      </c>
      <c r="V39" s="79">
        <v>-19023.14</v>
      </c>
      <c r="W39" s="79">
        <v>5192.82</v>
      </c>
      <c r="X39" s="79">
        <v>-20174.32</v>
      </c>
      <c r="Y39" s="79">
        <v>3483.57</v>
      </c>
      <c r="Z39" s="79">
        <v>7539.31</v>
      </c>
    </row>
    <row r="40" spans="2:26" x14ac:dyDescent="0.25">
      <c r="B40" s="84" t="s">
        <v>163</v>
      </c>
      <c r="C40" s="79">
        <v>0</v>
      </c>
      <c r="D40" s="79">
        <v>0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9">
        <v>0</v>
      </c>
      <c r="S40" s="79">
        <v>0</v>
      </c>
      <c r="T40" s="79">
        <v>0</v>
      </c>
      <c r="U40" s="79">
        <v>0</v>
      </c>
      <c r="V40" s="79">
        <v>0</v>
      </c>
      <c r="W40" s="79">
        <v>0</v>
      </c>
      <c r="X40" s="79">
        <v>0</v>
      </c>
      <c r="Y40" s="79">
        <v>0</v>
      </c>
      <c r="Z40" s="79">
        <v>0</v>
      </c>
    </row>
    <row r="41" spans="2:26" x14ac:dyDescent="0.25">
      <c r="B41" s="84" t="s">
        <v>321</v>
      </c>
      <c r="E41" s="79">
        <v>0</v>
      </c>
      <c r="F41" s="79">
        <v>0</v>
      </c>
      <c r="G41" s="79">
        <v>0</v>
      </c>
      <c r="H41" s="79">
        <v>0</v>
      </c>
      <c r="I41" s="79">
        <v>0</v>
      </c>
      <c r="J41" s="79">
        <v>0</v>
      </c>
      <c r="K41" s="79">
        <v>0</v>
      </c>
      <c r="L41" s="79">
        <v>0</v>
      </c>
      <c r="M41" s="79">
        <v>0</v>
      </c>
      <c r="N41" s="79">
        <v>0</v>
      </c>
      <c r="Q41" s="79">
        <v>0</v>
      </c>
    </row>
    <row r="42" spans="2:26" x14ac:dyDescent="0.25">
      <c r="B42" s="84" t="s">
        <v>114</v>
      </c>
      <c r="C42" s="79">
        <v>41338.870000000003</v>
      </c>
      <c r="D42" s="79">
        <v>125683.48</v>
      </c>
      <c r="E42" s="79">
        <v>9728.51</v>
      </c>
      <c r="F42" s="79">
        <v>55150.58</v>
      </c>
      <c r="G42" s="79">
        <v>50654.35</v>
      </c>
      <c r="H42" s="79">
        <v>27325.06</v>
      </c>
      <c r="I42" s="79">
        <v>61364.83</v>
      </c>
      <c r="J42" s="79">
        <v>94006.46</v>
      </c>
      <c r="K42" s="79">
        <v>-25574.880000000001</v>
      </c>
      <c r="L42" s="79">
        <v>-17866.89</v>
      </c>
      <c r="M42" s="79">
        <v>-29228.99</v>
      </c>
      <c r="N42" s="79">
        <v>-29837.68</v>
      </c>
      <c r="O42" s="79">
        <v>41338.870000000003</v>
      </c>
      <c r="P42" s="79">
        <v>84344.61</v>
      </c>
      <c r="Q42" s="79">
        <v>-115954.97</v>
      </c>
      <c r="R42" s="79">
        <v>45422.07</v>
      </c>
      <c r="S42" s="79">
        <v>-4496.2299999999996</v>
      </c>
      <c r="T42" s="79">
        <v>-23329.29</v>
      </c>
      <c r="U42" s="79">
        <v>34039.769999999997</v>
      </c>
      <c r="V42" s="79">
        <v>32641.63</v>
      </c>
      <c r="W42" s="79">
        <v>-119581.34</v>
      </c>
      <c r="X42" s="79">
        <v>7707.99</v>
      </c>
      <c r="Y42" s="79">
        <v>-11362.1</v>
      </c>
      <c r="Z42" s="79">
        <v>-608.69000000000005</v>
      </c>
    </row>
    <row r="43" spans="2:26" x14ac:dyDescent="0.25">
      <c r="B43" s="84" t="s">
        <v>229</v>
      </c>
      <c r="I43" s="79">
        <v>-3895.92</v>
      </c>
      <c r="J43" s="79">
        <v>-3895.92</v>
      </c>
      <c r="K43" s="79">
        <v>-3895.92</v>
      </c>
      <c r="L43" s="79">
        <v>-3895.92</v>
      </c>
      <c r="M43" s="79">
        <v>-3895.92</v>
      </c>
      <c r="N43" s="79">
        <v>-3895.92</v>
      </c>
      <c r="U43" s="79">
        <v>-3895.92</v>
      </c>
    </row>
    <row r="44" spans="2:26" x14ac:dyDescent="0.25">
      <c r="B44" s="84" t="s">
        <v>230</v>
      </c>
      <c r="G44" s="79">
        <v>-1803.61</v>
      </c>
      <c r="H44" s="79">
        <v>-1803.61</v>
      </c>
      <c r="I44" s="79">
        <v>-1803.61</v>
      </c>
      <c r="J44" s="79">
        <v>-1803.61</v>
      </c>
      <c r="K44" s="79">
        <v>-1803.61</v>
      </c>
      <c r="L44" s="79">
        <v>-1803.61</v>
      </c>
      <c r="M44" s="79">
        <v>-1803.61</v>
      </c>
      <c r="N44" s="79">
        <v>-1803.61</v>
      </c>
      <c r="S44" s="79">
        <v>-1803.61</v>
      </c>
    </row>
    <row r="45" spans="2:26" x14ac:dyDescent="0.25">
      <c r="B45" s="84" t="s">
        <v>283</v>
      </c>
    </row>
    <row r="46" spans="2:26" x14ac:dyDescent="0.25">
      <c r="B46" s="84" t="s">
        <v>284</v>
      </c>
    </row>
    <row r="47" spans="2:26" x14ac:dyDescent="0.25">
      <c r="B47" s="84" t="s">
        <v>113</v>
      </c>
      <c r="C47" s="79">
        <v>5922.72</v>
      </c>
      <c r="D47" s="79">
        <v>-50318.66</v>
      </c>
      <c r="E47" s="79">
        <v>-49197.51</v>
      </c>
      <c r="F47" s="79">
        <v>-44568.5</v>
      </c>
      <c r="G47" s="79">
        <v>-43615.24</v>
      </c>
      <c r="H47" s="79">
        <v>-32166.92</v>
      </c>
      <c r="I47" s="79">
        <v>-20324.28</v>
      </c>
      <c r="J47" s="79">
        <v>-12364.28</v>
      </c>
      <c r="K47" s="79">
        <v>-19601.740000000002</v>
      </c>
      <c r="L47" s="79">
        <v>-8161.2</v>
      </c>
      <c r="M47" s="79">
        <v>-11164.8</v>
      </c>
      <c r="N47" s="79">
        <v>617.74</v>
      </c>
      <c r="O47" s="79">
        <v>5922.72</v>
      </c>
      <c r="P47" s="79">
        <v>-56241.38</v>
      </c>
      <c r="Q47" s="79">
        <v>1121.1500000000001</v>
      </c>
      <c r="R47" s="79">
        <v>4629.01</v>
      </c>
      <c r="S47" s="79">
        <v>953.26</v>
      </c>
      <c r="T47" s="79">
        <v>11448.32</v>
      </c>
      <c r="U47" s="79">
        <v>11842.64</v>
      </c>
      <c r="V47" s="79">
        <v>7960</v>
      </c>
      <c r="W47" s="79">
        <v>-7237.46</v>
      </c>
      <c r="X47" s="79">
        <v>11440.54</v>
      </c>
      <c r="Y47" s="79">
        <v>-3003.6</v>
      </c>
      <c r="Z47" s="79">
        <v>11782.54</v>
      </c>
    </row>
    <row r="48" spans="2:26" x14ac:dyDescent="0.25">
      <c r="B48" s="84" t="s">
        <v>112</v>
      </c>
      <c r="C48" s="79">
        <v>22849.46</v>
      </c>
      <c r="D48" s="79">
        <v>46654.5</v>
      </c>
      <c r="E48" s="79">
        <v>43.64</v>
      </c>
      <c r="F48" s="79">
        <v>20710.09</v>
      </c>
      <c r="G48" s="79">
        <v>44589.84</v>
      </c>
      <c r="H48" s="79">
        <v>0</v>
      </c>
      <c r="I48" s="79">
        <v>36856.480000000003</v>
      </c>
      <c r="J48" s="79">
        <v>60735.79</v>
      </c>
      <c r="K48" s="79">
        <v>0</v>
      </c>
      <c r="L48" s="79">
        <v>36527.14</v>
      </c>
      <c r="M48" s="79">
        <v>64174.75</v>
      </c>
      <c r="N48" s="79">
        <v>-290.33</v>
      </c>
      <c r="O48" s="79">
        <v>22849.46</v>
      </c>
      <c r="P48" s="79">
        <v>23805.040000000001</v>
      </c>
      <c r="Q48" s="79">
        <v>-46610.86</v>
      </c>
      <c r="R48" s="79">
        <v>20666.45</v>
      </c>
      <c r="S48" s="79">
        <v>23879.75</v>
      </c>
      <c r="T48" s="79">
        <v>-44589.84</v>
      </c>
      <c r="U48" s="79">
        <v>36856.480000000003</v>
      </c>
      <c r="V48" s="79">
        <v>23879.31</v>
      </c>
      <c r="W48" s="79">
        <v>-60735.79</v>
      </c>
      <c r="X48" s="79">
        <v>36527.14</v>
      </c>
      <c r="Y48" s="79">
        <v>27647.61</v>
      </c>
      <c r="Z48" s="79">
        <v>-64465.08</v>
      </c>
    </row>
    <row r="49" spans="2:26" x14ac:dyDescent="0.25">
      <c r="B49" s="84" t="s">
        <v>111</v>
      </c>
      <c r="C49" s="79">
        <v>-23516.82</v>
      </c>
      <c r="D49" s="79">
        <v>-52867.02</v>
      </c>
      <c r="E49" s="79">
        <v>-1914.2</v>
      </c>
      <c r="F49" s="79">
        <v>-19901.78</v>
      </c>
      <c r="G49" s="79">
        <v>-38765.199999999997</v>
      </c>
      <c r="H49" s="79">
        <v>-27.6</v>
      </c>
      <c r="I49" s="79">
        <v>-28494.54</v>
      </c>
      <c r="J49" s="79">
        <v>-39882.07</v>
      </c>
      <c r="K49" s="79">
        <v>-311.37</v>
      </c>
      <c r="L49" s="79">
        <v>-27379.64</v>
      </c>
      <c r="M49" s="79">
        <v>-33377.61</v>
      </c>
      <c r="N49" s="79">
        <v>-4004.12</v>
      </c>
      <c r="O49" s="79">
        <v>-23516.82</v>
      </c>
      <c r="P49" s="79">
        <v>-29350.2</v>
      </c>
      <c r="Q49" s="79">
        <v>50952.82</v>
      </c>
      <c r="R49" s="79">
        <v>-17987.580000000002</v>
      </c>
      <c r="S49" s="79">
        <v>-18863.419999999998</v>
      </c>
      <c r="T49" s="79">
        <v>38737.599999999999</v>
      </c>
      <c r="U49" s="79">
        <v>-28466.94</v>
      </c>
      <c r="V49" s="79">
        <v>-11387.53</v>
      </c>
      <c r="W49" s="79">
        <v>39570.699999999997</v>
      </c>
      <c r="X49" s="79">
        <v>-27068.27</v>
      </c>
      <c r="Y49" s="79">
        <v>-5997.97</v>
      </c>
      <c r="Z49" s="79">
        <v>29373.49</v>
      </c>
    </row>
    <row r="50" spans="2:26" x14ac:dyDescent="0.25">
      <c r="B50" s="84" t="s">
        <v>110</v>
      </c>
      <c r="D50" s="79">
        <v>-37411.949999999997</v>
      </c>
      <c r="E50" s="79">
        <v>-25427.73</v>
      </c>
      <c r="F50" s="79">
        <v>-25427.73</v>
      </c>
      <c r="G50" s="79">
        <v>-37411.949999999997</v>
      </c>
      <c r="H50" s="79">
        <v>-18804.53</v>
      </c>
      <c r="I50" s="79">
        <v>-18804.53</v>
      </c>
      <c r="J50" s="79">
        <v>-37411.949999999997</v>
      </c>
      <c r="K50" s="79">
        <v>-16469.16</v>
      </c>
      <c r="L50" s="79">
        <v>-16469.16</v>
      </c>
      <c r="M50" s="79">
        <v>-37411.949999999997</v>
      </c>
      <c r="N50" s="79">
        <v>9915.86</v>
      </c>
      <c r="P50" s="79">
        <v>-37411.949999999997</v>
      </c>
      <c r="Q50" s="79">
        <v>11984.22</v>
      </c>
      <c r="S50" s="79">
        <v>-11984.22</v>
      </c>
      <c r="T50" s="79">
        <v>18607.419999999998</v>
      </c>
      <c r="V50" s="79">
        <v>-18607.419999999998</v>
      </c>
      <c r="W50" s="79">
        <v>20942.79</v>
      </c>
      <c r="Y50" s="79">
        <v>-20942.79</v>
      </c>
      <c r="Z50" s="79">
        <v>47327.81</v>
      </c>
    </row>
    <row r="51" spans="2:26" x14ac:dyDescent="0.25">
      <c r="B51" s="84" t="s">
        <v>413</v>
      </c>
      <c r="C51" s="79">
        <v>7409.52</v>
      </c>
      <c r="D51" s="79">
        <v>7409.52</v>
      </c>
      <c r="E51" s="79">
        <v>7409.52</v>
      </c>
      <c r="F51" s="79">
        <v>7409.52</v>
      </c>
      <c r="G51" s="79">
        <v>7409.52</v>
      </c>
      <c r="H51" s="79">
        <v>7409.52</v>
      </c>
      <c r="I51" s="79">
        <v>7409.52</v>
      </c>
      <c r="J51" s="79">
        <v>7409.52</v>
      </c>
      <c r="K51" s="79">
        <v>7409.52</v>
      </c>
      <c r="L51" s="79">
        <v>7409.52</v>
      </c>
      <c r="M51" s="79">
        <v>7409.52</v>
      </c>
      <c r="N51" s="79">
        <v>7409.52</v>
      </c>
      <c r="O51" s="79">
        <v>7409.52</v>
      </c>
    </row>
    <row r="52" spans="2:26" x14ac:dyDescent="0.25">
      <c r="B52" s="84" t="s">
        <v>109</v>
      </c>
      <c r="C52" s="79">
        <v>-122.18</v>
      </c>
      <c r="D52" s="79">
        <v>-289.58</v>
      </c>
      <c r="E52" s="79">
        <v>-203.17</v>
      </c>
      <c r="F52" s="79">
        <v>-160.16999999999999</v>
      </c>
      <c r="G52" s="79">
        <v>489.19</v>
      </c>
      <c r="H52" s="79">
        <v>701.59</v>
      </c>
      <c r="I52" s="79">
        <v>-1492.71</v>
      </c>
      <c r="J52" s="79">
        <v>-3723.36</v>
      </c>
      <c r="K52" s="79">
        <v>-3723.96</v>
      </c>
      <c r="L52" s="79">
        <v>-1664.51</v>
      </c>
      <c r="M52" s="79">
        <v>1358.79</v>
      </c>
      <c r="N52" s="79">
        <v>-1525.06</v>
      </c>
      <c r="O52" s="79">
        <v>-122.18</v>
      </c>
      <c r="P52" s="79">
        <v>-167.4</v>
      </c>
      <c r="Q52" s="79">
        <v>86.41</v>
      </c>
      <c r="R52" s="79">
        <v>43</v>
      </c>
      <c r="S52" s="79">
        <v>649.36</v>
      </c>
      <c r="T52" s="79">
        <v>212.4</v>
      </c>
      <c r="U52" s="79">
        <v>-2194.3000000000002</v>
      </c>
      <c r="V52" s="79">
        <v>-2230.65</v>
      </c>
      <c r="W52" s="79">
        <v>-0.6</v>
      </c>
      <c r="X52" s="79">
        <v>2059.4499999999998</v>
      </c>
      <c r="Y52" s="79">
        <v>3023.3</v>
      </c>
      <c r="Z52" s="79">
        <v>-2883.85</v>
      </c>
    </row>
    <row r="53" spans="2:26" x14ac:dyDescent="0.25">
      <c r="B53" s="84" t="s">
        <v>108</v>
      </c>
      <c r="C53" s="79">
        <v>-156.59</v>
      </c>
      <c r="D53" s="79">
        <v>-372.65</v>
      </c>
      <c r="E53" s="79">
        <v>-254.87</v>
      </c>
      <c r="F53" s="79">
        <v>939.81</v>
      </c>
      <c r="G53" s="79">
        <v>778.36</v>
      </c>
      <c r="H53" s="79">
        <v>-1996.22</v>
      </c>
      <c r="I53" s="79">
        <v>541.41</v>
      </c>
      <c r="J53" s="79">
        <v>-2154.1799999999998</v>
      </c>
      <c r="K53" s="79">
        <v>-2150.48</v>
      </c>
      <c r="L53" s="79">
        <v>73.83</v>
      </c>
      <c r="M53" s="79">
        <v>3343.6</v>
      </c>
      <c r="N53" s="79">
        <v>279.66000000000003</v>
      </c>
      <c r="O53" s="79">
        <v>-156.59</v>
      </c>
      <c r="P53" s="79">
        <v>-216.06</v>
      </c>
      <c r="Q53" s="79">
        <v>117.78</v>
      </c>
      <c r="R53" s="79">
        <v>1194.68</v>
      </c>
      <c r="S53" s="79">
        <v>-161.44999999999999</v>
      </c>
      <c r="T53" s="79">
        <v>-2774.58</v>
      </c>
      <c r="U53" s="79">
        <v>2537.63</v>
      </c>
      <c r="V53" s="79">
        <v>-2695.59</v>
      </c>
      <c r="W53" s="79">
        <v>3.7</v>
      </c>
      <c r="X53" s="79">
        <v>2224.31</v>
      </c>
      <c r="Y53" s="79">
        <v>3269.77</v>
      </c>
      <c r="Z53" s="79">
        <v>-3063.94</v>
      </c>
    </row>
    <row r="54" spans="2:26" x14ac:dyDescent="0.25">
      <c r="B54" s="84" t="s">
        <v>107</v>
      </c>
      <c r="C54" s="79">
        <v>0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79">
        <v>0</v>
      </c>
      <c r="O54" s="79">
        <v>0</v>
      </c>
      <c r="P54" s="79">
        <v>0</v>
      </c>
      <c r="Q54" s="79">
        <v>0</v>
      </c>
      <c r="R54" s="79">
        <v>0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</row>
    <row r="55" spans="2:26" x14ac:dyDescent="0.25">
      <c r="B55" s="84" t="s">
        <v>231</v>
      </c>
      <c r="N55" s="79">
        <v>8563.3799999999992</v>
      </c>
      <c r="Z55" s="79">
        <v>8563.3799999999992</v>
      </c>
    </row>
    <row r="56" spans="2:26" x14ac:dyDescent="0.25">
      <c r="B56" s="84" t="s">
        <v>285</v>
      </c>
    </row>
    <row r="57" spans="2:26" x14ac:dyDescent="0.25">
      <c r="B57" s="84" t="s">
        <v>232</v>
      </c>
    </row>
    <row r="58" spans="2:26" x14ac:dyDescent="0.25">
      <c r="B58" s="84" t="s">
        <v>286</v>
      </c>
    </row>
    <row r="59" spans="2:26" x14ac:dyDescent="0.25">
      <c r="B59" s="84" t="s">
        <v>106</v>
      </c>
      <c r="C59" s="79">
        <v>156580.95000000001</v>
      </c>
      <c r="D59" s="79">
        <v>275526.15000000002</v>
      </c>
      <c r="E59" s="79">
        <v>390552.68</v>
      </c>
      <c r="F59" s="79">
        <v>498025.91</v>
      </c>
      <c r="G59" s="79">
        <v>618349.87</v>
      </c>
      <c r="H59" s="79">
        <v>785434.11</v>
      </c>
      <c r="I59" s="79">
        <v>974147.29</v>
      </c>
      <c r="J59" s="79">
        <v>1094430.3600000001</v>
      </c>
      <c r="K59" s="79">
        <v>1169124.8799999999</v>
      </c>
      <c r="L59" s="79">
        <v>1357980.24</v>
      </c>
      <c r="M59" s="79">
        <v>1496178.37</v>
      </c>
      <c r="N59" s="79">
        <v>1656832.85</v>
      </c>
      <c r="O59" s="79">
        <v>156580.95000000001</v>
      </c>
      <c r="P59" s="79">
        <v>118945.2</v>
      </c>
      <c r="Q59" s="79">
        <v>115026.53</v>
      </c>
      <c r="R59" s="79">
        <v>107473.23</v>
      </c>
      <c r="S59" s="79">
        <v>120323.96</v>
      </c>
      <c r="T59" s="79">
        <v>167084.24</v>
      </c>
      <c r="U59" s="79">
        <v>188713.18</v>
      </c>
      <c r="V59" s="79">
        <v>120283.07</v>
      </c>
      <c r="W59" s="79">
        <v>74694.52</v>
      </c>
      <c r="X59" s="79">
        <v>188855.36</v>
      </c>
      <c r="Y59" s="79">
        <v>138198.13</v>
      </c>
      <c r="Z59" s="79">
        <v>160654.48000000001</v>
      </c>
    </row>
    <row r="60" spans="2:26" x14ac:dyDescent="0.25">
      <c r="B60" s="84" t="s">
        <v>105</v>
      </c>
      <c r="C60" s="79">
        <v>-1209.1300000000001</v>
      </c>
      <c r="D60" s="79">
        <v>-4098.8900000000003</v>
      </c>
      <c r="E60" s="79">
        <v>-9943.16</v>
      </c>
      <c r="F60" s="79">
        <v>-12519.06</v>
      </c>
      <c r="G60" s="79">
        <v>-15113.9</v>
      </c>
      <c r="H60" s="79">
        <v>-18219.62</v>
      </c>
      <c r="I60" s="79">
        <v>-22031.62</v>
      </c>
      <c r="J60" s="79">
        <v>-25777.7</v>
      </c>
      <c r="K60" s="79">
        <v>-28908.32</v>
      </c>
      <c r="L60" s="79">
        <v>-32218.14</v>
      </c>
      <c r="M60" s="79">
        <v>-34550.9</v>
      </c>
      <c r="N60" s="79">
        <v>-37785.879999999997</v>
      </c>
      <c r="O60" s="79">
        <v>-1209.1300000000001</v>
      </c>
      <c r="P60" s="79">
        <v>-2889.76</v>
      </c>
      <c r="Q60" s="79">
        <v>-5844.27</v>
      </c>
      <c r="R60" s="79">
        <v>-2575.9</v>
      </c>
      <c r="S60" s="79">
        <v>-2594.84</v>
      </c>
      <c r="T60" s="79">
        <v>-3105.72</v>
      </c>
      <c r="U60" s="79">
        <v>-3812</v>
      </c>
      <c r="V60" s="79">
        <v>-3746.08</v>
      </c>
      <c r="W60" s="79">
        <v>-3130.62</v>
      </c>
      <c r="X60" s="79">
        <v>-3309.82</v>
      </c>
      <c r="Y60" s="79">
        <v>-2332.7600000000002</v>
      </c>
      <c r="Z60" s="79">
        <v>-3234.98</v>
      </c>
    </row>
    <row r="61" spans="2:26" x14ac:dyDescent="0.25">
      <c r="B61" s="84" t="s">
        <v>104</v>
      </c>
      <c r="C61" s="79">
        <v>-5171.0600000000004</v>
      </c>
      <c r="D61" s="79">
        <v>-8234.0300000000007</v>
      </c>
      <c r="E61" s="79">
        <v>-10435.98</v>
      </c>
      <c r="F61" s="79">
        <v>-13335.38</v>
      </c>
      <c r="G61" s="79">
        <v>-16616.36</v>
      </c>
      <c r="H61" s="79">
        <v>-19955.29</v>
      </c>
      <c r="I61" s="79">
        <v>-22483.48</v>
      </c>
      <c r="J61" s="79">
        <v>-27408.720000000001</v>
      </c>
      <c r="K61" s="79">
        <v>-30347.63</v>
      </c>
      <c r="L61" s="79">
        <v>-33688.800000000003</v>
      </c>
      <c r="M61" s="79">
        <v>-35866.660000000003</v>
      </c>
      <c r="N61" s="79">
        <v>-39515.32</v>
      </c>
      <c r="O61" s="79">
        <v>-5171.0600000000004</v>
      </c>
      <c r="P61" s="79">
        <v>-3062.97</v>
      </c>
      <c r="Q61" s="79">
        <v>-2201.9499999999998</v>
      </c>
      <c r="R61" s="79">
        <v>-2899.4</v>
      </c>
      <c r="S61" s="79">
        <v>-3280.98</v>
      </c>
      <c r="T61" s="79">
        <v>-3338.93</v>
      </c>
      <c r="U61" s="79">
        <v>-2528.19</v>
      </c>
      <c r="V61" s="79">
        <v>-4925.24</v>
      </c>
      <c r="W61" s="79">
        <v>-2938.91</v>
      </c>
      <c r="X61" s="79">
        <v>-3341.17</v>
      </c>
      <c r="Y61" s="79">
        <v>-2177.86</v>
      </c>
      <c r="Z61" s="79">
        <v>-3648.66</v>
      </c>
    </row>
    <row r="62" spans="2:26" x14ac:dyDescent="0.25">
      <c r="B62" s="84" t="s">
        <v>131</v>
      </c>
      <c r="C62" s="79">
        <v>-91169.17</v>
      </c>
      <c r="D62" s="79">
        <v>-161455.10999999999</v>
      </c>
      <c r="E62" s="79">
        <v>-238103.47</v>
      </c>
      <c r="F62" s="79">
        <v>-304224.07</v>
      </c>
      <c r="G62" s="79">
        <v>-373857.19</v>
      </c>
      <c r="H62" s="79">
        <v>-477249.23</v>
      </c>
      <c r="I62" s="79">
        <v>-597005.49</v>
      </c>
      <c r="J62" s="79">
        <v>-668513.97</v>
      </c>
      <c r="K62" s="79">
        <v>-710481.97</v>
      </c>
      <c r="L62" s="79">
        <v>-832653.83</v>
      </c>
      <c r="M62" s="79">
        <v>-920189.26</v>
      </c>
      <c r="N62" s="79">
        <v>-1015669.54</v>
      </c>
      <c r="O62" s="79">
        <v>-91169.17</v>
      </c>
      <c r="P62" s="79">
        <v>-70285.94</v>
      </c>
      <c r="Q62" s="79">
        <v>-76648.36</v>
      </c>
      <c r="R62" s="79">
        <v>-66120.600000000006</v>
      </c>
      <c r="S62" s="79">
        <v>-69633.119999999995</v>
      </c>
      <c r="T62" s="79">
        <v>-103392.04</v>
      </c>
      <c r="U62" s="79">
        <v>-119756.26</v>
      </c>
      <c r="V62" s="79">
        <v>-71508.479999999996</v>
      </c>
      <c r="W62" s="79">
        <v>-41968</v>
      </c>
      <c r="X62" s="79">
        <v>-122171.86</v>
      </c>
      <c r="Y62" s="79">
        <v>-87535.43</v>
      </c>
      <c r="Z62" s="79">
        <v>-95480.28</v>
      </c>
    </row>
    <row r="63" spans="2:26" x14ac:dyDescent="0.25">
      <c r="B63" s="84" t="s">
        <v>233</v>
      </c>
    </row>
    <row r="64" spans="2:26" x14ac:dyDescent="0.25">
      <c r="B64" s="84" t="s">
        <v>103</v>
      </c>
      <c r="C64" s="79">
        <v>-1430.99</v>
      </c>
      <c r="D64" s="79">
        <v>-6883.81</v>
      </c>
      <c r="E64" s="79">
        <v>-9959.4500000000007</v>
      </c>
      <c r="F64" s="79">
        <v>-10390.16</v>
      </c>
      <c r="G64" s="79">
        <v>-10653.09</v>
      </c>
      <c r="H64" s="79">
        <v>-11149.2</v>
      </c>
      <c r="I64" s="79">
        <v>-11499.89</v>
      </c>
      <c r="J64" s="79">
        <v>-12570.44</v>
      </c>
      <c r="K64" s="79">
        <v>-13710.5</v>
      </c>
      <c r="L64" s="79">
        <v>-14066.56</v>
      </c>
      <c r="M64" s="79">
        <v>-15659.9</v>
      </c>
      <c r="N64" s="79">
        <v>-15686.32</v>
      </c>
      <c r="O64" s="79">
        <v>-1430.99</v>
      </c>
      <c r="P64" s="79">
        <v>-5452.82</v>
      </c>
      <c r="Q64" s="79">
        <v>-3075.64</v>
      </c>
      <c r="R64" s="79">
        <v>-430.71</v>
      </c>
      <c r="S64" s="79">
        <v>-262.93</v>
      </c>
      <c r="T64" s="79">
        <v>-496.11</v>
      </c>
      <c r="U64" s="79">
        <v>-350.69</v>
      </c>
      <c r="V64" s="79">
        <v>-1070.55</v>
      </c>
      <c r="W64" s="79">
        <v>-1140.06</v>
      </c>
      <c r="X64" s="79">
        <v>-356.06</v>
      </c>
      <c r="Y64" s="79">
        <v>-1593.34</v>
      </c>
      <c r="Z64" s="79">
        <v>-26.42</v>
      </c>
    </row>
    <row r="65" spans="2:26" x14ac:dyDescent="0.25">
      <c r="B65" s="84" t="s">
        <v>102</v>
      </c>
      <c r="C65" s="79">
        <v>-1569.5</v>
      </c>
      <c r="D65" s="79">
        <v>-7687.33</v>
      </c>
      <c r="E65" s="79">
        <v>-9341.0300000000007</v>
      </c>
      <c r="F65" s="79">
        <v>-10995.42</v>
      </c>
      <c r="G65" s="79">
        <v>-13645.92</v>
      </c>
      <c r="H65" s="79">
        <v>-17197.5</v>
      </c>
      <c r="I65" s="79">
        <v>-18794</v>
      </c>
      <c r="J65" s="79">
        <v>-20294</v>
      </c>
      <c r="K65" s="79">
        <v>-21924.15</v>
      </c>
      <c r="L65" s="79">
        <v>-23575.55</v>
      </c>
      <c r="M65" s="79">
        <v>-26024.18</v>
      </c>
      <c r="N65" s="79">
        <v>-28912.41</v>
      </c>
      <c r="O65" s="79">
        <v>-1569.5</v>
      </c>
      <c r="P65" s="79">
        <v>-6117.83</v>
      </c>
      <c r="Q65" s="79">
        <v>-1653.7</v>
      </c>
      <c r="R65" s="79">
        <v>-1654.39</v>
      </c>
      <c r="S65" s="79">
        <v>-2650.5</v>
      </c>
      <c r="T65" s="79">
        <v>-3551.58</v>
      </c>
      <c r="U65" s="79">
        <v>-1596.5</v>
      </c>
      <c r="V65" s="79">
        <v>-1500</v>
      </c>
      <c r="W65" s="79">
        <v>-1630.15</v>
      </c>
      <c r="X65" s="79">
        <v>-1651.4</v>
      </c>
      <c r="Y65" s="79">
        <v>-2448.63</v>
      </c>
      <c r="Z65" s="79">
        <v>-2888.23</v>
      </c>
    </row>
    <row r="66" spans="2:26" x14ac:dyDescent="0.25">
      <c r="B66" s="84" t="s">
        <v>130</v>
      </c>
      <c r="C66" s="79">
        <v>-1325</v>
      </c>
      <c r="D66" s="79">
        <v>-2578.98</v>
      </c>
      <c r="E66" s="79">
        <v>-2578.98</v>
      </c>
      <c r="F66" s="79">
        <v>-2578.98</v>
      </c>
      <c r="G66" s="79">
        <v>-3003.98</v>
      </c>
      <c r="H66" s="79">
        <v>-3003.98</v>
      </c>
      <c r="I66" s="79">
        <v>-4328.9799999999996</v>
      </c>
      <c r="J66" s="79">
        <v>-6044</v>
      </c>
      <c r="K66" s="79">
        <v>-6044</v>
      </c>
      <c r="L66" s="79">
        <v>-6089</v>
      </c>
      <c r="M66" s="79">
        <v>-6213.85</v>
      </c>
      <c r="N66" s="79">
        <v>-6265.43</v>
      </c>
      <c r="O66" s="79">
        <v>-1325</v>
      </c>
      <c r="P66" s="79">
        <v>-1253.98</v>
      </c>
      <c r="S66" s="79">
        <v>-425</v>
      </c>
      <c r="U66" s="79">
        <v>-1325</v>
      </c>
      <c r="V66" s="79">
        <v>-1715.02</v>
      </c>
      <c r="X66" s="79">
        <v>-45</v>
      </c>
      <c r="Y66" s="79">
        <v>-124.85</v>
      </c>
      <c r="Z66" s="79">
        <v>-51.58</v>
      </c>
    </row>
    <row r="67" spans="2:26" x14ac:dyDescent="0.25">
      <c r="B67" s="84" t="s">
        <v>101</v>
      </c>
      <c r="C67" s="79">
        <v>-9347.17</v>
      </c>
      <c r="D67" s="79">
        <v>-18015.900000000001</v>
      </c>
      <c r="E67" s="79">
        <v>-28064.87</v>
      </c>
      <c r="F67" s="79">
        <v>-36641.370000000003</v>
      </c>
      <c r="G67" s="79">
        <v>-45157.19</v>
      </c>
      <c r="H67" s="79">
        <v>-56099.95</v>
      </c>
      <c r="I67" s="79">
        <v>-65405.32</v>
      </c>
      <c r="J67" s="79">
        <v>-73984.820000000007</v>
      </c>
      <c r="K67" s="79">
        <v>-84758.080000000002</v>
      </c>
      <c r="L67" s="79">
        <v>-93432.1</v>
      </c>
      <c r="M67" s="79">
        <v>-106124.34</v>
      </c>
      <c r="N67" s="79">
        <v>-115083.07</v>
      </c>
      <c r="O67" s="79">
        <v>-9347.17</v>
      </c>
      <c r="P67" s="79">
        <v>-8668.73</v>
      </c>
      <c r="Q67" s="79">
        <v>-10048.969999999999</v>
      </c>
      <c r="R67" s="79">
        <v>-8576.5</v>
      </c>
      <c r="S67" s="79">
        <v>-8515.82</v>
      </c>
      <c r="T67" s="79">
        <v>-10942.76</v>
      </c>
      <c r="U67" s="79">
        <v>-9305.3700000000008</v>
      </c>
      <c r="V67" s="79">
        <v>-8579.5</v>
      </c>
      <c r="W67" s="79">
        <v>-10773.26</v>
      </c>
      <c r="X67" s="79">
        <v>-8674.02</v>
      </c>
      <c r="Y67" s="79">
        <v>-12692.24</v>
      </c>
      <c r="Z67" s="79">
        <v>-8958.73</v>
      </c>
    </row>
    <row r="68" spans="2:26" x14ac:dyDescent="0.25">
      <c r="B68" s="84" t="s">
        <v>287</v>
      </c>
    </row>
    <row r="69" spans="2:26" x14ac:dyDescent="0.25">
      <c r="B69" s="84" t="s">
        <v>288</v>
      </c>
    </row>
    <row r="70" spans="2:26" x14ac:dyDescent="0.25">
      <c r="B70" s="84" t="s">
        <v>234</v>
      </c>
      <c r="C70" s="79">
        <v>-750</v>
      </c>
      <c r="D70" s="79">
        <v>-1500</v>
      </c>
      <c r="E70" s="79">
        <v>-2250</v>
      </c>
      <c r="F70" s="79">
        <v>-3000</v>
      </c>
      <c r="G70" s="79">
        <v>-3750</v>
      </c>
      <c r="H70" s="79">
        <v>-4500</v>
      </c>
      <c r="I70" s="79">
        <v>-5250</v>
      </c>
      <c r="J70" s="79">
        <v>-6000</v>
      </c>
      <c r="K70" s="79">
        <v>-6750</v>
      </c>
      <c r="L70" s="79">
        <v>-7500</v>
      </c>
      <c r="M70" s="79">
        <v>-8250</v>
      </c>
      <c r="N70" s="79">
        <v>-9000</v>
      </c>
      <c r="O70" s="79">
        <v>-750</v>
      </c>
      <c r="P70" s="79">
        <v>-750</v>
      </c>
      <c r="Q70" s="79">
        <v>-750</v>
      </c>
      <c r="R70" s="79">
        <v>-750</v>
      </c>
      <c r="S70" s="79">
        <v>-750</v>
      </c>
      <c r="T70" s="79">
        <v>-750</v>
      </c>
      <c r="U70" s="79">
        <v>-750</v>
      </c>
      <c r="V70" s="79">
        <v>-750</v>
      </c>
      <c r="W70" s="79">
        <v>-750</v>
      </c>
      <c r="X70" s="79">
        <v>-750</v>
      </c>
      <c r="Y70" s="79">
        <v>-750</v>
      </c>
      <c r="Z70" s="79">
        <v>-750</v>
      </c>
    </row>
    <row r="71" spans="2:26" x14ac:dyDescent="0.25">
      <c r="B71" s="84" t="s">
        <v>129</v>
      </c>
      <c r="C71" s="79">
        <v>-3131.62</v>
      </c>
      <c r="D71" s="79">
        <v>-5510.52</v>
      </c>
      <c r="E71" s="79">
        <v>-7811.05</v>
      </c>
      <c r="F71" s="79">
        <v>-9960.51</v>
      </c>
      <c r="G71" s="79">
        <v>-12366.99</v>
      </c>
      <c r="H71" s="79">
        <v>-15708.67</v>
      </c>
      <c r="I71" s="79">
        <v>-19485.169999999998</v>
      </c>
      <c r="J71" s="79">
        <v>-21890.83</v>
      </c>
      <c r="K71" s="79">
        <v>-23384.65</v>
      </c>
      <c r="L71" s="79">
        <v>-27171.65</v>
      </c>
      <c r="M71" s="79">
        <v>-29935.53</v>
      </c>
      <c r="N71" s="79">
        <v>-33148.980000000003</v>
      </c>
      <c r="O71" s="79">
        <v>-3131.62</v>
      </c>
      <c r="P71" s="79">
        <v>-2378.9</v>
      </c>
      <c r="Q71" s="79">
        <v>-2300.5300000000002</v>
      </c>
      <c r="R71" s="79">
        <v>-2149.46</v>
      </c>
      <c r="S71" s="79">
        <v>-2406.48</v>
      </c>
      <c r="T71" s="79">
        <v>-3341.68</v>
      </c>
      <c r="U71" s="79">
        <v>-3776.5</v>
      </c>
      <c r="V71" s="79">
        <v>-2405.66</v>
      </c>
      <c r="W71" s="79">
        <v>-1493.82</v>
      </c>
      <c r="X71" s="79">
        <v>-3787</v>
      </c>
      <c r="Y71" s="79">
        <v>-2763.88</v>
      </c>
      <c r="Z71" s="79">
        <v>-3213.45</v>
      </c>
    </row>
    <row r="72" spans="2:26" x14ac:dyDescent="0.25">
      <c r="B72" s="84" t="s">
        <v>164</v>
      </c>
      <c r="C72" s="79">
        <v>-194.45</v>
      </c>
      <c r="D72" s="79">
        <v>-194.45</v>
      </c>
      <c r="E72" s="79">
        <v>-194.45</v>
      </c>
      <c r="F72" s="79">
        <v>-340.7</v>
      </c>
      <c r="G72" s="79">
        <v>-859.66</v>
      </c>
      <c r="H72" s="79">
        <v>-924.66</v>
      </c>
      <c r="I72" s="79">
        <v>-924.66</v>
      </c>
      <c r="J72" s="79">
        <v>-924.66</v>
      </c>
      <c r="K72" s="79">
        <v>-924.66</v>
      </c>
      <c r="L72" s="79">
        <v>-1038.4100000000001</v>
      </c>
      <c r="M72" s="79">
        <v>-1038.4100000000001</v>
      </c>
      <c r="N72" s="79">
        <v>-1038.4100000000001</v>
      </c>
      <c r="O72" s="79">
        <v>-194.45</v>
      </c>
      <c r="R72" s="79">
        <v>-146.25</v>
      </c>
      <c r="S72" s="79">
        <v>-518.96</v>
      </c>
      <c r="T72" s="79">
        <v>-65</v>
      </c>
      <c r="X72" s="79">
        <v>-113.75</v>
      </c>
    </row>
    <row r="73" spans="2:26" x14ac:dyDescent="0.25">
      <c r="B73" s="84" t="s">
        <v>100</v>
      </c>
      <c r="C73" s="79">
        <v>-982.83</v>
      </c>
      <c r="D73" s="79">
        <v>-2037.16</v>
      </c>
      <c r="E73" s="79">
        <v>-2290.38</v>
      </c>
      <c r="F73" s="79">
        <v>-3922.64</v>
      </c>
      <c r="G73" s="79">
        <v>-5031.34</v>
      </c>
      <c r="H73" s="79">
        <v>-5560.81</v>
      </c>
      <c r="I73" s="79">
        <v>-6619.8</v>
      </c>
      <c r="J73" s="79">
        <v>-7402.06</v>
      </c>
      <c r="K73" s="79">
        <v>-8001.78</v>
      </c>
      <c r="L73" s="79">
        <v>-8770.7199999999993</v>
      </c>
      <c r="M73" s="79">
        <v>-10143.92</v>
      </c>
      <c r="N73" s="79">
        <v>-11237.29</v>
      </c>
      <c r="O73" s="79">
        <v>-982.83</v>
      </c>
      <c r="P73" s="79">
        <v>-1054.33</v>
      </c>
      <c r="Q73" s="79">
        <v>-253.22</v>
      </c>
      <c r="R73" s="79">
        <v>-1632.26</v>
      </c>
      <c r="S73" s="79">
        <v>-1108.7</v>
      </c>
      <c r="T73" s="79">
        <v>-529.47</v>
      </c>
      <c r="U73" s="79">
        <v>-1058.99</v>
      </c>
      <c r="V73" s="79">
        <v>-782.26</v>
      </c>
      <c r="W73" s="79">
        <v>-599.72</v>
      </c>
      <c r="X73" s="79">
        <v>-768.94</v>
      </c>
      <c r="Y73" s="79">
        <v>-1373.2</v>
      </c>
      <c r="Z73" s="79">
        <v>-1093.3699999999999</v>
      </c>
    </row>
    <row r="74" spans="2:26" x14ac:dyDescent="0.25">
      <c r="B74" s="84" t="s">
        <v>128</v>
      </c>
      <c r="C74" s="79">
        <v>-35</v>
      </c>
      <c r="D74" s="79">
        <v>-70</v>
      </c>
      <c r="E74" s="79">
        <v>-105</v>
      </c>
      <c r="F74" s="79">
        <v>-105</v>
      </c>
      <c r="G74" s="79">
        <v>-105</v>
      </c>
      <c r="H74" s="79">
        <v>-105</v>
      </c>
      <c r="I74" s="79">
        <v>-105</v>
      </c>
      <c r="J74" s="79">
        <v>-105</v>
      </c>
      <c r="K74" s="79">
        <v>-105</v>
      </c>
      <c r="L74" s="79">
        <v>-105</v>
      </c>
      <c r="M74" s="79">
        <v>-105</v>
      </c>
      <c r="N74" s="79">
        <v>-105</v>
      </c>
      <c r="O74" s="79">
        <v>-35</v>
      </c>
      <c r="P74" s="79">
        <v>-35</v>
      </c>
      <c r="Q74" s="79">
        <v>-35</v>
      </c>
    </row>
    <row r="75" spans="2:26" x14ac:dyDescent="0.25">
      <c r="B75" s="84" t="s">
        <v>127</v>
      </c>
      <c r="C75" s="79">
        <v>-920</v>
      </c>
      <c r="D75" s="79">
        <v>-1840</v>
      </c>
      <c r="E75" s="79">
        <v>-2760</v>
      </c>
      <c r="F75" s="79">
        <v>-3680</v>
      </c>
      <c r="G75" s="79">
        <v>-4600</v>
      </c>
      <c r="H75" s="79">
        <v>-5520</v>
      </c>
      <c r="I75" s="79">
        <v>-6440</v>
      </c>
      <c r="J75" s="79">
        <v>-7360</v>
      </c>
      <c r="K75" s="79">
        <v>-8280</v>
      </c>
      <c r="L75" s="79">
        <v>-9200</v>
      </c>
      <c r="M75" s="79">
        <v>-10120</v>
      </c>
      <c r="N75" s="79">
        <v>-11040</v>
      </c>
      <c r="O75" s="79">
        <v>-920</v>
      </c>
      <c r="P75" s="79">
        <v>-920</v>
      </c>
      <c r="Q75" s="79">
        <v>-920</v>
      </c>
      <c r="R75" s="79">
        <v>-920</v>
      </c>
      <c r="S75" s="79">
        <v>-920</v>
      </c>
      <c r="T75" s="79">
        <v>-920</v>
      </c>
      <c r="U75" s="79">
        <v>-920</v>
      </c>
      <c r="V75" s="79">
        <v>-920</v>
      </c>
      <c r="W75" s="79">
        <v>-920</v>
      </c>
      <c r="X75" s="79">
        <v>-920</v>
      </c>
      <c r="Y75" s="79">
        <v>-920</v>
      </c>
      <c r="Z75" s="79">
        <v>-920</v>
      </c>
    </row>
    <row r="76" spans="2:26" x14ac:dyDescent="0.25">
      <c r="B76" s="84" t="s">
        <v>126</v>
      </c>
      <c r="C76" s="79">
        <v>-7500</v>
      </c>
      <c r="D76" s="79">
        <v>-16011.15</v>
      </c>
      <c r="E76" s="79">
        <v>-23511.15</v>
      </c>
      <c r="F76" s="79">
        <v>-31011.15</v>
      </c>
      <c r="G76" s="79">
        <v>-38511.15</v>
      </c>
      <c r="H76" s="79">
        <v>-46011.15</v>
      </c>
      <c r="I76" s="79">
        <v>-53511.15</v>
      </c>
      <c r="J76" s="79">
        <v>-61011.15</v>
      </c>
      <c r="K76" s="79">
        <v>-68511.149999999994</v>
      </c>
      <c r="L76" s="79">
        <v>-76011.149999999994</v>
      </c>
      <c r="M76" s="79">
        <v>-83511.149999999994</v>
      </c>
      <c r="N76" s="79">
        <v>-91011.15</v>
      </c>
      <c r="O76" s="79">
        <v>-7500</v>
      </c>
      <c r="P76" s="79">
        <v>-8511.15</v>
      </c>
      <c r="Q76" s="79">
        <v>-7500</v>
      </c>
      <c r="R76" s="79">
        <v>-7500</v>
      </c>
      <c r="S76" s="79">
        <v>-7500</v>
      </c>
      <c r="T76" s="79">
        <v>-7500</v>
      </c>
      <c r="U76" s="79">
        <v>-7500</v>
      </c>
      <c r="V76" s="79">
        <v>-7500</v>
      </c>
      <c r="W76" s="79">
        <v>-7500</v>
      </c>
      <c r="X76" s="79">
        <v>-7500</v>
      </c>
      <c r="Y76" s="79">
        <v>-7500</v>
      </c>
      <c r="Z76" s="79">
        <v>-7500</v>
      </c>
    </row>
    <row r="77" spans="2:26" x14ac:dyDescent="0.25">
      <c r="B77" s="84" t="s">
        <v>99</v>
      </c>
      <c r="C77" s="79">
        <v>-1331.01</v>
      </c>
      <c r="D77" s="79">
        <v>-2662.02</v>
      </c>
      <c r="E77" s="79">
        <v>-3993.03</v>
      </c>
      <c r="F77" s="79">
        <v>-5322.24</v>
      </c>
      <c r="G77" s="79">
        <v>-6651.45</v>
      </c>
      <c r="H77" s="79">
        <v>-7980.66</v>
      </c>
      <c r="I77" s="79">
        <v>-9309.8700000000008</v>
      </c>
      <c r="J77" s="79">
        <v>-10639.08</v>
      </c>
      <c r="K77" s="79">
        <v>-11968.29</v>
      </c>
      <c r="L77" s="79">
        <v>-13297.5</v>
      </c>
      <c r="M77" s="79">
        <v>-16310.95</v>
      </c>
      <c r="N77" s="79">
        <v>-17640.16</v>
      </c>
      <c r="O77" s="79">
        <v>-1331.01</v>
      </c>
      <c r="P77" s="79">
        <v>-1331.01</v>
      </c>
      <c r="Q77" s="79">
        <v>-1331.01</v>
      </c>
      <c r="R77" s="79">
        <v>-1329.21</v>
      </c>
      <c r="S77" s="79">
        <v>-1329.21</v>
      </c>
      <c r="T77" s="79">
        <v>-1329.21</v>
      </c>
      <c r="U77" s="79">
        <v>-1329.21</v>
      </c>
      <c r="V77" s="79">
        <v>-1329.21</v>
      </c>
      <c r="W77" s="79">
        <v>-1329.21</v>
      </c>
      <c r="X77" s="79">
        <v>-1329.21</v>
      </c>
      <c r="Y77" s="79">
        <v>-3013.45</v>
      </c>
      <c r="Z77" s="79">
        <v>-1329.21</v>
      </c>
    </row>
    <row r="78" spans="2:26" x14ac:dyDescent="0.25">
      <c r="B78" s="84" t="s">
        <v>322</v>
      </c>
      <c r="C78" s="79">
        <v>0</v>
      </c>
      <c r="D78" s="79">
        <v>0</v>
      </c>
      <c r="E78" s="79">
        <v>0</v>
      </c>
      <c r="F78" s="79">
        <v>0</v>
      </c>
      <c r="G78" s="79">
        <v>0</v>
      </c>
      <c r="H78" s="79">
        <v>0</v>
      </c>
      <c r="I78" s="79">
        <v>0</v>
      </c>
      <c r="J78" s="79">
        <v>0</v>
      </c>
      <c r="K78" s="79">
        <v>0</v>
      </c>
      <c r="L78" s="79">
        <v>-61</v>
      </c>
      <c r="M78" s="79">
        <v>-61</v>
      </c>
      <c r="N78" s="79">
        <v>-61</v>
      </c>
      <c r="O78" s="79">
        <v>0</v>
      </c>
      <c r="X78" s="79">
        <v>-61</v>
      </c>
    </row>
    <row r="79" spans="2:26" x14ac:dyDescent="0.25">
      <c r="B79" s="84" t="s">
        <v>425</v>
      </c>
      <c r="H79" s="79">
        <v>-1084.5</v>
      </c>
      <c r="I79" s="79">
        <v>-1084.5</v>
      </c>
      <c r="J79" s="79">
        <v>-1084.5</v>
      </c>
      <c r="K79" s="79">
        <v>-1084.5</v>
      </c>
      <c r="L79" s="79">
        <v>-1084.5</v>
      </c>
      <c r="M79" s="79">
        <v>-1084.5</v>
      </c>
      <c r="N79" s="79">
        <v>-1084.5</v>
      </c>
      <c r="T79" s="79">
        <v>-1084.5</v>
      </c>
    </row>
    <row r="80" spans="2:26" x14ac:dyDescent="0.25">
      <c r="B80" s="84" t="s">
        <v>323</v>
      </c>
      <c r="D80" s="79">
        <v>85.72</v>
      </c>
      <c r="E80" s="79">
        <v>158.02000000000001</v>
      </c>
      <c r="F80" s="79">
        <v>158.02000000000001</v>
      </c>
      <c r="G80" s="79">
        <v>158.02000000000001</v>
      </c>
      <c r="H80" s="79">
        <v>158.02000000000001</v>
      </c>
      <c r="I80" s="79">
        <v>158.02000000000001</v>
      </c>
      <c r="J80" s="79">
        <v>158.02000000000001</v>
      </c>
      <c r="K80" s="79">
        <v>158.02000000000001</v>
      </c>
      <c r="L80" s="79">
        <v>158.02000000000001</v>
      </c>
      <c r="M80" s="79">
        <v>158.02000000000001</v>
      </c>
      <c r="N80" s="79">
        <v>158.02000000000001</v>
      </c>
      <c r="P80" s="79">
        <v>85.72</v>
      </c>
      <c r="Q80" s="79">
        <v>72.3</v>
      </c>
    </row>
    <row r="81" spans="2:26" x14ac:dyDescent="0.25">
      <c r="B81" s="84" t="s">
        <v>207</v>
      </c>
      <c r="C81" s="79">
        <v>-2302.63</v>
      </c>
      <c r="D81" s="79">
        <v>-2302.63</v>
      </c>
      <c r="E81" s="79">
        <v>454.72</v>
      </c>
      <c r="F81" s="79">
        <v>454.72</v>
      </c>
      <c r="G81" s="79">
        <v>-2530.9499999999998</v>
      </c>
      <c r="H81" s="79">
        <v>-2530.9499999999998</v>
      </c>
      <c r="I81" s="79">
        <v>-2530.9499999999998</v>
      </c>
      <c r="J81" s="79">
        <v>-2530.9499999999998</v>
      </c>
      <c r="K81" s="79">
        <v>-2530.9499999999998</v>
      </c>
      <c r="L81" s="79">
        <v>-2530.9499999999998</v>
      </c>
      <c r="M81" s="79">
        <v>-2530.9499999999998</v>
      </c>
      <c r="N81" s="79">
        <v>-2530.94</v>
      </c>
      <c r="O81" s="79">
        <v>-2302.63</v>
      </c>
      <c r="Q81" s="79">
        <v>2757.35</v>
      </c>
      <c r="S81" s="79">
        <v>-2985.67</v>
      </c>
      <c r="W81" s="79">
        <v>0</v>
      </c>
      <c r="Z81" s="79">
        <v>0.01</v>
      </c>
    </row>
    <row r="82" spans="2:26" x14ac:dyDescent="0.25">
      <c r="B82" s="84" t="s">
        <v>125</v>
      </c>
      <c r="L82" s="79">
        <v>-1.19</v>
      </c>
      <c r="M82" s="79">
        <v>-1.21</v>
      </c>
      <c r="N82" s="79">
        <v>-1.21</v>
      </c>
      <c r="X82" s="79">
        <v>-1.19</v>
      </c>
      <c r="Y82" s="79">
        <v>-0.02</v>
      </c>
    </row>
    <row r="83" spans="2:26" x14ac:dyDescent="0.25">
      <c r="B83" s="84" t="s">
        <v>165</v>
      </c>
      <c r="D83" s="79">
        <v>0</v>
      </c>
      <c r="E83" s="79">
        <v>-10.050000000000001</v>
      </c>
      <c r="F83" s="79">
        <v>0</v>
      </c>
      <c r="G83" s="79">
        <v>0</v>
      </c>
      <c r="H83" s="79">
        <v>0</v>
      </c>
      <c r="I83" s="79">
        <v>0</v>
      </c>
      <c r="J83" s="79">
        <v>0</v>
      </c>
      <c r="K83" s="79">
        <v>0</v>
      </c>
      <c r="L83" s="79">
        <v>0</v>
      </c>
      <c r="M83" s="79">
        <v>0</v>
      </c>
      <c r="N83" s="79">
        <v>0</v>
      </c>
      <c r="P83" s="79">
        <v>0</v>
      </c>
      <c r="Q83" s="79">
        <v>-10.050000000000001</v>
      </c>
      <c r="R83" s="79">
        <v>10.050000000000001</v>
      </c>
      <c r="S83" s="79">
        <v>0</v>
      </c>
    </row>
    <row r="84" spans="2:26" x14ac:dyDescent="0.25">
      <c r="B84" s="84" t="s">
        <v>124</v>
      </c>
      <c r="C84" s="79">
        <v>-300</v>
      </c>
      <c r="D84" s="79">
        <v>-600</v>
      </c>
      <c r="E84" s="79">
        <v>-900</v>
      </c>
      <c r="F84" s="79">
        <v>-1200</v>
      </c>
      <c r="G84" s="79">
        <v>-1500</v>
      </c>
      <c r="H84" s="79">
        <v>-1800</v>
      </c>
      <c r="I84" s="79">
        <v>-2100</v>
      </c>
      <c r="J84" s="79">
        <v>-2400</v>
      </c>
      <c r="K84" s="79">
        <v>-2700</v>
      </c>
      <c r="L84" s="79">
        <v>-3000</v>
      </c>
      <c r="M84" s="79">
        <v>-3300</v>
      </c>
      <c r="N84" s="79">
        <v>-3600</v>
      </c>
      <c r="O84" s="79">
        <v>-300</v>
      </c>
      <c r="P84" s="79">
        <v>-300</v>
      </c>
      <c r="Q84" s="79">
        <v>-300</v>
      </c>
      <c r="R84" s="79">
        <v>-300</v>
      </c>
      <c r="S84" s="79">
        <v>-300</v>
      </c>
      <c r="T84" s="79">
        <v>-300</v>
      </c>
      <c r="U84" s="79">
        <v>-300</v>
      </c>
      <c r="V84" s="79">
        <v>-300</v>
      </c>
      <c r="W84" s="79">
        <v>-300</v>
      </c>
      <c r="X84" s="79">
        <v>-300</v>
      </c>
      <c r="Y84" s="79">
        <v>-300</v>
      </c>
      <c r="Z84" s="79">
        <v>-300</v>
      </c>
    </row>
    <row r="85" spans="2:26" x14ac:dyDescent="0.25">
      <c r="B85" s="84" t="s">
        <v>289</v>
      </c>
      <c r="J85" s="79">
        <v>-39</v>
      </c>
      <c r="K85" s="79">
        <v>-39</v>
      </c>
      <c r="L85" s="79">
        <v>-39</v>
      </c>
      <c r="M85" s="79">
        <v>-39</v>
      </c>
      <c r="N85" s="79">
        <v>-219</v>
      </c>
      <c r="V85" s="79">
        <v>-39</v>
      </c>
      <c r="Z85" s="79">
        <v>-180</v>
      </c>
    </row>
    <row r="86" spans="2:26" x14ac:dyDescent="0.25">
      <c r="B86" s="84" t="s">
        <v>98</v>
      </c>
      <c r="C86" s="79">
        <v>-150.22999999999999</v>
      </c>
      <c r="D86" s="79">
        <v>-399.8</v>
      </c>
      <c r="E86" s="79">
        <v>-680.04</v>
      </c>
      <c r="F86" s="79">
        <v>-829.54</v>
      </c>
      <c r="G86" s="79">
        <v>-1060.05</v>
      </c>
      <c r="H86" s="79">
        <v>-1285.29</v>
      </c>
      <c r="I86" s="79">
        <v>-1395.54</v>
      </c>
      <c r="J86" s="79">
        <v>-1487</v>
      </c>
      <c r="K86" s="79">
        <v>-1650.4</v>
      </c>
      <c r="L86" s="79">
        <v>-1766.55</v>
      </c>
      <c r="M86" s="79">
        <v>-1871.31</v>
      </c>
      <c r="N86" s="79">
        <v>-1999.72</v>
      </c>
      <c r="O86" s="79">
        <v>-150.22999999999999</v>
      </c>
      <c r="P86" s="79">
        <v>-249.57</v>
      </c>
      <c r="Q86" s="79">
        <v>-280.24</v>
      </c>
      <c r="R86" s="79">
        <v>-149.5</v>
      </c>
      <c r="S86" s="79">
        <v>-230.51</v>
      </c>
      <c r="T86" s="79">
        <v>-225.24</v>
      </c>
      <c r="U86" s="79">
        <v>-110.25</v>
      </c>
      <c r="V86" s="79">
        <v>-91.46</v>
      </c>
      <c r="W86" s="79">
        <v>-163.4</v>
      </c>
      <c r="X86" s="79">
        <v>-116.15</v>
      </c>
      <c r="Y86" s="79">
        <v>-104.76</v>
      </c>
      <c r="Z86" s="79">
        <v>-128.41</v>
      </c>
    </row>
    <row r="87" spans="2:26" x14ac:dyDescent="0.25">
      <c r="B87" s="84" t="s">
        <v>123</v>
      </c>
      <c r="C87" s="79">
        <v>-250</v>
      </c>
      <c r="D87" s="79">
        <v>-500</v>
      </c>
      <c r="E87" s="79">
        <v>-750</v>
      </c>
      <c r="F87" s="79">
        <v>-1000</v>
      </c>
      <c r="G87" s="79">
        <v>-1250</v>
      </c>
      <c r="H87" s="79">
        <v>-1500</v>
      </c>
      <c r="I87" s="79">
        <v>-1750</v>
      </c>
      <c r="J87" s="79">
        <v>-2000</v>
      </c>
      <c r="K87" s="79">
        <v>-2250</v>
      </c>
      <c r="L87" s="79">
        <v>-2500</v>
      </c>
      <c r="M87" s="79">
        <v>-2750</v>
      </c>
      <c r="N87" s="79">
        <v>-3000</v>
      </c>
      <c r="O87" s="79">
        <v>-250</v>
      </c>
      <c r="P87" s="79">
        <v>-250</v>
      </c>
      <c r="Q87" s="79">
        <v>-250</v>
      </c>
      <c r="R87" s="79">
        <v>-250</v>
      </c>
      <c r="S87" s="79">
        <v>-250</v>
      </c>
      <c r="T87" s="79">
        <v>-250</v>
      </c>
      <c r="U87" s="79">
        <v>-250</v>
      </c>
      <c r="V87" s="79">
        <v>-250</v>
      </c>
      <c r="W87" s="79">
        <v>-250</v>
      </c>
      <c r="X87" s="79">
        <v>-250</v>
      </c>
      <c r="Y87" s="79">
        <v>-250</v>
      </c>
      <c r="Z87" s="79">
        <v>-250</v>
      </c>
    </row>
    <row r="88" spans="2:26" x14ac:dyDescent="0.25">
      <c r="B88" s="84" t="s">
        <v>235</v>
      </c>
    </row>
    <row r="89" spans="2:26" x14ac:dyDescent="0.25">
      <c r="B89" s="84" t="s">
        <v>290</v>
      </c>
    </row>
    <row r="90" spans="2:26" x14ac:dyDescent="0.25">
      <c r="B90" s="84" t="s">
        <v>122</v>
      </c>
      <c r="C90" s="79">
        <v>-125</v>
      </c>
      <c r="D90" s="79">
        <v>-250</v>
      </c>
      <c r="E90" s="79">
        <v>-375</v>
      </c>
      <c r="F90" s="79">
        <v>-500</v>
      </c>
      <c r="G90" s="79">
        <v>-625</v>
      </c>
      <c r="H90" s="79">
        <v>-750</v>
      </c>
      <c r="I90" s="79">
        <v>-875</v>
      </c>
      <c r="J90" s="79">
        <v>-1000</v>
      </c>
      <c r="K90" s="79">
        <v>-1125</v>
      </c>
      <c r="L90" s="79">
        <v>-1250</v>
      </c>
      <c r="M90" s="79">
        <v>-1375</v>
      </c>
      <c r="N90" s="79">
        <v>-1500</v>
      </c>
      <c r="O90" s="79">
        <v>-125</v>
      </c>
      <c r="P90" s="79">
        <v>-125</v>
      </c>
      <c r="Q90" s="79">
        <v>-125</v>
      </c>
      <c r="R90" s="79">
        <v>-125</v>
      </c>
      <c r="S90" s="79">
        <v>-125</v>
      </c>
      <c r="T90" s="79">
        <v>-125</v>
      </c>
      <c r="U90" s="79">
        <v>-125</v>
      </c>
      <c r="V90" s="79">
        <v>-125</v>
      </c>
      <c r="W90" s="79">
        <v>-125</v>
      </c>
      <c r="X90" s="79">
        <v>-125</v>
      </c>
      <c r="Y90" s="79">
        <v>-125</v>
      </c>
      <c r="Z90" s="79">
        <v>-125</v>
      </c>
    </row>
    <row r="91" spans="2:26" x14ac:dyDescent="0.25">
      <c r="B91" s="84" t="s">
        <v>97</v>
      </c>
      <c r="C91" s="79">
        <v>-564.67999999999995</v>
      </c>
      <c r="D91" s="79">
        <v>-1129.3599999999999</v>
      </c>
      <c r="E91" s="79">
        <v>-1719.99</v>
      </c>
      <c r="F91" s="79">
        <v>-2304.3200000000002</v>
      </c>
      <c r="G91" s="79">
        <v>-2726.35</v>
      </c>
      <c r="H91" s="79">
        <v>-3148.38</v>
      </c>
      <c r="I91" s="79">
        <v>-3570.41</v>
      </c>
      <c r="J91" s="79">
        <v>-3992.44</v>
      </c>
      <c r="K91" s="79">
        <v>-4414.47</v>
      </c>
      <c r="L91" s="79">
        <v>-4838.7299999999996</v>
      </c>
      <c r="M91" s="79">
        <v>-5262.99</v>
      </c>
      <c r="N91" s="79">
        <v>-5687.25</v>
      </c>
      <c r="O91" s="79">
        <v>-564.67999999999995</v>
      </c>
      <c r="P91" s="79">
        <v>-564.67999999999995</v>
      </c>
      <c r="Q91" s="79">
        <v>-590.63</v>
      </c>
      <c r="R91" s="79">
        <v>-584.33000000000004</v>
      </c>
      <c r="S91" s="79">
        <v>-422.03</v>
      </c>
      <c r="T91" s="79">
        <v>-422.03</v>
      </c>
      <c r="U91" s="79">
        <v>-422.03</v>
      </c>
      <c r="V91" s="79">
        <v>-422.03</v>
      </c>
      <c r="W91" s="79">
        <v>-422.03</v>
      </c>
      <c r="X91" s="79">
        <v>-424.26</v>
      </c>
      <c r="Y91" s="79">
        <v>-424.26</v>
      </c>
      <c r="Z91" s="79">
        <v>-424.26</v>
      </c>
    </row>
    <row r="92" spans="2:26" x14ac:dyDescent="0.25">
      <c r="B92" s="84" t="s">
        <v>96</v>
      </c>
      <c r="C92" s="79">
        <v>-365</v>
      </c>
      <c r="D92" s="79">
        <v>-3698.32</v>
      </c>
      <c r="E92" s="79">
        <v>-4063.32</v>
      </c>
      <c r="F92" s="79">
        <v>-4487.4399999999996</v>
      </c>
      <c r="G92" s="79">
        <v>-5134.4399999999996</v>
      </c>
      <c r="H92" s="79">
        <v>-6206.4</v>
      </c>
      <c r="I92" s="79">
        <v>-8071.89</v>
      </c>
      <c r="J92" s="79">
        <v>-8646.84</v>
      </c>
      <c r="K92" s="79">
        <v>-9107.82</v>
      </c>
      <c r="L92" s="79">
        <v>-9646.82</v>
      </c>
      <c r="M92" s="79">
        <v>-10243.02</v>
      </c>
      <c r="N92" s="79">
        <v>-11470.46</v>
      </c>
      <c r="O92" s="79">
        <v>-365</v>
      </c>
      <c r="P92" s="79">
        <v>-3333.32</v>
      </c>
      <c r="Q92" s="79">
        <v>-365</v>
      </c>
      <c r="R92" s="79">
        <v>-424.12</v>
      </c>
      <c r="S92" s="79">
        <v>-647</v>
      </c>
      <c r="T92" s="79">
        <v>-1071.96</v>
      </c>
      <c r="U92" s="79">
        <v>-1865.49</v>
      </c>
      <c r="V92" s="79">
        <v>-574.95000000000005</v>
      </c>
      <c r="W92" s="79">
        <v>-460.98</v>
      </c>
      <c r="X92" s="79">
        <v>-539</v>
      </c>
      <c r="Y92" s="79">
        <v>-596.20000000000005</v>
      </c>
      <c r="Z92" s="79">
        <v>-1227.44</v>
      </c>
    </row>
    <row r="93" spans="2:26" x14ac:dyDescent="0.25">
      <c r="B93" s="84" t="s">
        <v>95</v>
      </c>
      <c r="C93" s="79">
        <v>-168.07</v>
      </c>
      <c r="D93" s="79">
        <v>-232.61</v>
      </c>
      <c r="E93" s="79">
        <v>-264.44</v>
      </c>
      <c r="F93" s="79">
        <v>-270.89</v>
      </c>
      <c r="G93" s="79">
        <v>-329.84</v>
      </c>
      <c r="H93" s="79">
        <v>-465.39</v>
      </c>
      <c r="I93" s="79">
        <v>-565.39</v>
      </c>
      <c r="J93" s="79">
        <v>-580.54999999999995</v>
      </c>
      <c r="K93" s="79">
        <v>-669.4</v>
      </c>
      <c r="L93" s="79">
        <v>-687.99</v>
      </c>
      <c r="M93" s="79">
        <v>-894.44</v>
      </c>
      <c r="N93" s="79">
        <v>-973.54</v>
      </c>
      <c r="O93" s="79">
        <v>-168.07</v>
      </c>
      <c r="P93" s="79">
        <v>-64.540000000000006</v>
      </c>
      <c r="Q93" s="79">
        <v>-31.83</v>
      </c>
      <c r="R93" s="79">
        <v>-6.45</v>
      </c>
      <c r="S93" s="79">
        <v>-58.95</v>
      </c>
      <c r="T93" s="79">
        <v>-135.55000000000001</v>
      </c>
      <c r="U93" s="79">
        <v>-100</v>
      </c>
      <c r="V93" s="79">
        <v>-15.16</v>
      </c>
      <c r="W93" s="79">
        <v>-88.85</v>
      </c>
      <c r="X93" s="79">
        <v>-18.59</v>
      </c>
      <c r="Y93" s="79">
        <v>-206.45</v>
      </c>
      <c r="Z93" s="79">
        <v>-79.099999999999994</v>
      </c>
    </row>
    <row r="94" spans="2:26" x14ac:dyDescent="0.25">
      <c r="B94" s="84" t="s">
        <v>121</v>
      </c>
      <c r="C94" s="79">
        <v>-2020</v>
      </c>
      <c r="D94" s="79">
        <v>-4040</v>
      </c>
      <c r="E94" s="79">
        <v>-6060</v>
      </c>
      <c r="F94" s="79">
        <v>-8080</v>
      </c>
      <c r="G94" s="79">
        <v>-10100</v>
      </c>
      <c r="H94" s="79">
        <v>-12120</v>
      </c>
      <c r="I94" s="79">
        <v>-14140</v>
      </c>
      <c r="J94" s="79">
        <v>-16160</v>
      </c>
      <c r="K94" s="79">
        <v>-18180</v>
      </c>
      <c r="L94" s="79">
        <v>-20200</v>
      </c>
      <c r="M94" s="79">
        <v>-22220</v>
      </c>
      <c r="N94" s="79">
        <v>-24240</v>
      </c>
      <c r="O94" s="79">
        <v>-2020</v>
      </c>
      <c r="P94" s="79">
        <v>-2020</v>
      </c>
      <c r="Q94" s="79">
        <v>-2020</v>
      </c>
      <c r="R94" s="79">
        <v>-2020</v>
      </c>
      <c r="S94" s="79">
        <v>-2020</v>
      </c>
      <c r="T94" s="79">
        <v>-2020</v>
      </c>
      <c r="U94" s="79">
        <v>-2020</v>
      </c>
      <c r="V94" s="79">
        <v>-2020</v>
      </c>
      <c r="W94" s="79">
        <v>-2020</v>
      </c>
      <c r="X94" s="79">
        <v>-2020</v>
      </c>
      <c r="Y94" s="79">
        <v>-2020</v>
      </c>
      <c r="Z94" s="79">
        <v>-2020</v>
      </c>
    </row>
    <row r="95" spans="2:26" x14ac:dyDescent="0.25">
      <c r="B95" s="84" t="s">
        <v>94</v>
      </c>
      <c r="C95" s="79">
        <v>-260</v>
      </c>
      <c r="D95" s="79">
        <v>-260</v>
      </c>
      <c r="E95" s="79">
        <v>-260</v>
      </c>
      <c r="F95" s="79">
        <v>-260</v>
      </c>
      <c r="G95" s="79">
        <v>-747.4</v>
      </c>
      <c r="H95" s="79">
        <v>-979.39</v>
      </c>
      <c r="I95" s="79">
        <v>-1002.79</v>
      </c>
      <c r="J95" s="79">
        <v>-1002.79</v>
      </c>
      <c r="K95" s="79">
        <v>-1064.4000000000001</v>
      </c>
      <c r="L95" s="79">
        <v>-1547.4</v>
      </c>
      <c r="M95" s="79">
        <v>-1547.4</v>
      </c>
      <c r="N95" s="79">
        <v>-1988.96</v>
      </c>
      <c r="O95" s="79">
        <v>-260</v>
      </c>
      <c r="S95" s="79">
        <v>-487.4</v>
      </c>
      <c r="T95" s="79">
        <v>-231.99</v>
      </c>
      <c r="U95" s="79">
        <v>-23.4</v>
      </c>
      <c r="W95" s="79">
        <v>-61.61</v>
      </c>
      <c r="X95" s="79">
        <v>-483</v>
      </c>
      <c r="Z95" s="79">
        <v>-441.56</v>
      </c>
    </row>
    <row r="96" spans="2:26" x14ac:dyDescent="0.25">
      <c r="B96" s="84" t="s">
        <v>93</v>
      </c>
      <c r="C96" s="79">
        <v>-8787.08</v>
      </c>
      <c r="D96" s="79">
        <v>-17574.16</v>
      </c>
      <c r="E96" s="79">
        <v>-26354.05</v>
      </c>
      <c r="F96" s="79">
        <v>-35135.74</v>
      </c>
      <c r="G96" s="79">
        <v>-43917.43</v>
      </c>
      <c r="H96" s="79">
        <v>-52699.12</v>
      </c>
      <c r="I96" s="79">
        <v>-63480.81</v>
      </c>
      <c r="J96" s="79">
        <v>-72262.5</v>
      </c>
      <c r="K96" s="79">
        <v>-81044.19</v>
      </c>
      <c r="L96" s="79">
        <v>-89825.88</v>
      </c>
      <c r="M96" s="79">
        <v>-99745.57</v>
      </c>
      <c r="N96" s="79">
        <v>-108527.26</v>
      </c>
      <c r="O96" s="79">
        <v>-8787.08</v>
      </c>
      <c r="P96" s="79">
        <v>-8787.08</v>
      </c>
      <c r="Q96" s="79">
        <v>-8779.89</v>
      </c>
      <c r="R96" s="79">
        <v>-8781.69</v>
      </c>
      <c r="S96" s="79">
        <v>-8781.69</v>
      </c>
      <c r="T96" s="79">
        <v>-8781.69</v>
      </c>
      <c r="U96" s="79">
        <v>-10781.69</v>
      </c>
      <c r="V96" s="79">
        <v>-8781.69</v>
      </c>
      <c r="W96" s="79">
        <v>-8781.69</v>
      </c>
      <c r="X96" s="79">
        <v>-8781.69</v>
      </c>
      <c r="Y96" s="79">
        <v>-9919.69</v>
      </c>
      <c r="Z96" s="79">
        <v>-8781.69</v>
      </c>
    </row>
    <row r="97" spans="2:26" x14ac:dyDescent="0.25">
      <c r="B97" s="84" t="s">
        <v>92</v>
      </c>
      <c r="C97" s="79">
        <v>-3000</v>
      </c>
      <c r="D97" s="79">
        <v>-6000</v>
      </c>
      <c r="E97" s="79">
        <v>-9000</v>
      </c>
      <c r="F97" s="79">
        <v>-12000</v>
      </c>
      <c r="G97" s="79">
        <v>-15000</v>
      </c>
      <c r="H97" s="79">
        <v>-18300</v>
      </c>
      <c r="I97" s="79">
        <v>-21600</v>
      </c>
      <c r="J97" s="79">
        <v>-24900</v>
      </c>
      <c r="K97" s="79">
        <v>-28200</v>
      </c>
      <c r="L97" s="79">
        <v>-31500</v>
      </c>
      <c r="M97" s="79">
        <v>-35800</v>
      </c>
      <c r="N97" s="79">
        <v>-39100</v>
      </c>
      <c r="O97" s="79">
        <v>-3000</v>
      </c>
      <c r="P97" s="79">
        <v>-3000</v>
      </c>
      <c r="Q97" s="79">
        <v>-3000</v>
      </c>
      <c r="R97" s="79">
        <v>-3000</v>
      </c>
      <c r="S97" s="79">
        <v>-3000</v>
      </c>
      <c r="T97" s="79">
        <v>-3300</v>
      </c>
      <c r="U97" s="79">
        <v>-3300</v>
      </c>
      <c r="V97" s="79">
        <v>-3300</v>
      </c>
      <c r="W97" s="79">
        <v>-3300</v>
      </c>
      <c r="X97" s="79">
        <v>-3300</v>
      </c>
      <c r="Y97" s="79">
        <v>-4300</v>
      </c>
      <c r="Z97" s="79">
        <v>-3300</v>
      </c>
    </row>
    <row r="98" spans="2:26" x14ac:dyDescent="0.25">
      <c r="B98" s="84" t="s">
        <v>91</v>
      </c>
      <c r="C98" s="79">
        <v>-215.1</v>
      </c>
      <c r="D98" s="79">
        <v>-818.66</v>
      </c>
      <c r="E98" s="79">
        <v>-853.28</v>
      </c>
      <c r="F98" s="79">
        <v>-927.82</v>
      </c>
      <c r="G98" s="79">
        <v>-1906.79</v>
      </c>
      <c r="H98" s="79">
        <v>-2092.16</v>
      </c>
      <c r="I98" s="79">
        <v>-2209.87</v>
      </c>
      <c r="J98" s="79">
        <v>-2432.0700000000002</v>
      </c>
      <c r="K98" s="79">
        <v>-2490.06</v>
      </c>
      <c r="L98" s="79">
        <v>-2728.12</v>
      </c>
      <c r="M98" s="79">
        <v>-2769.57</v>
      </c>
      <c r="N98" s="79">
        <v>-2769.57</v>
      </c>
      <c r="O98" s="79">
        <v>-215.1</v>
      </c>
      <c r="P98" s="79">
        <v>-603.55999999999995</v>
      </c>
      <c r="Q98" s="79">
        <v>-34.619999999999997</v>
      </c>
      <c r="R98" s="79">
        <v>-74.540000000000006</v>
      </c>
      <c r="S98" s="79">
        <v>-978.97</v>
      </c>
      <c r="T98" s="79">
        <v>-185.37</v>
      </c>
      <c r="U98" s="79">
        <v>-117.71</v>
      </c>
      <c r="V98" s="79">
        <v>-222.2</v>
      </c>
      <c r="W98" s="79">
        <v>-57.99</v>
      </c>
      <c r="X98" s="79">
        <v>-238.06</v>
      </c>
      <c r="Y98" s="79">
        <v>-41.45</v>
      </c>
    </row>
    <row r="99" spans="2:26" x14ac:dyDescent="0.25">
      <c r="B99" s="84" t="s">
        <v>90</v>
      </c>
      <c r="C99" s="79">
        <v>-722.43</v>
      </c>
      <c r="D99" s="79">
        <v>-1442.29</v>
      </c>
      <c r="E99" s="79">
        <v>-2142.29</v>
      </c>
      <c r="F99" s="79">
        <v>-2858.84</v>
      </c>
      <c r="G99" s="79">
        <v>-3577.6</v>
      </c>
      <c r="H99" s="79">
        <v>-4277.6000000000004</v>
      </c>
      <c r="I99" s="79">
        <v>-4977.6000000000004</v>
      </c>
      <c r="J99" s="79">
        <v>-5710.25</v>
      </c>
      <c r="K99" s="79">
        <v>-6410.25</v>
      </c>
      <c r="L99" s="79">
        <v>-7266.54</v>
      </c>
      <c r="M99" s="79">
        <v>-7966.54</v>
      </c>
      <c r="N99" s="79">
        <v>-8666.5400000000009</v>
      </c>
      <c r="O99" s="79">
        <v>-722.43</v>
      </c>
      <c r="P99" s="79">
        <v>-719.86</v>
      </c>
      <c r="Q99" s="79">
        <v>-700</v>
      </c>
      <c r="R99" s="79">
        <v>-716.55</v>
      </c>
      <c r="S99" s="79">
        <v>-718.76</v>
      </c>
      <c r="T99" s="79">
        <v>-700</v>
      </c>
      <c r="U99" s="79">
        <v>-700</v>
      </c>
      <c r="V99" s="79">
        <v>-732.65</v>
      </c>
      <c r="W99" s="79">
        <v>-700</v>
      </c>
      <c r="X99" s="79">
        <v>-856.29</v>
      </c>
      <c r="Y99" s="79">
        <v>-700</v>
      </c>
      <c r="Z99" s="79">
        <v>-700</v>
      </c>
    </row>
    <row r="100" spans="2:26" x14ac:dyDescent="0.25">
      <c r="B100" s="84" t="s">
        <v>89</v>
      </c>
      <c r="C100" s="79">
        <v>-195.95</v>
      </c>
      <c r="D100" s="79">
        <v>-701.9</v>
      </c>
      <c r="E100" s="79">
        <v>-877.9</v>
      </c>
      <c r="F100" s="79">
        <v>-1167.6199999999999</v>
      </c>
      <c r="G100" s="79">
        <v>-1757.62</v>
      </c>
      <c r="H100" s="79">
        <v>-1934.73</v>
      </c>
      <c r="I100" s="79">
        <v>-3727.3</v>
      </c>
      <c r="J100" s="79">
        <v>-4573.37</v>
      </c>
      <c r="K100" s="79">
        <v>-6186.45</v>
      </c>
      <c r="L100" s="79">
        <v>-6689.84</v>
      </c>
      <c r="M100" s="79">
        <v>-6869.37</v>
      </c>
      <c r="N100" s="79">
        <v>-7055.5</v>
      </c>
      <c r="O100" s="79">
        <v>-195.95</v>
      </c>
      <c r="P100" s="79">
        <v>-505.95</v>
      </c>
      <c r="Q100" s="79">
        <v>-176</v>
      </c>
      <c r="R100" s="79">
        <v>-289.72000000000003</v>
      </c>
      <c r="S100" s="79">
        <v>-590</v>
      </c>
      <c r="T100" s="79">
        <v>-177.11</v>
      </c>
      <c r="U100" s="79">
        <v>-1792.57</v>
      </c>
      <c r="V100" s="79">
        <v>-846.07</v>
      </c>
      <c r="W100" s="79">
        <v>-1613.08</v>
      </c>
      <c r="X100" s="79">
        <v>-503.39</v>
      </c>
      <c r="Y100" s="79">
        <v>-179.53</v>
      </c>
      <c r="Z100" s="79">
        <v>-186.13</v>
      </c>
    </row>
    <row r="101" spans="2:26" x14ac:dyDescent="0.25">
      <c r="B101" s="84" t="s">
        <v>120</v>
      </c>
      <c r="D101" s="79">
        <v>-200</v>
      </c>
      <c r="E101" s="79">
        <v>-200</v>
      </c>
      <c r="F101" s="79">
        <v>-200</v>
      </c>
      <c r="G101" s="79">
        <v>-200</v>
      </c>
      <c r="H101" s="79">
        <v>-955</v>
      </c>
      <c r="I101" s="79">
        <v>-955</v>
      </c>
      <c r="J101" s="79">
        <v>-955</v>
      </c>
      <c r="K101" s="79">
        <v>-955</v>
      </c>
      <c r="L101" s="79">
        <v>-955</v>
      </c>
      <c r="M101" s="79">
        <v>-1235</v>
      </c>
      <c r="N101" s="79">
        <v>-1385</v>
      </c>
      <c r="P101" s="79">
        <v>-200</v>
      </c>
      <c r="T101" s="79">
        <v>-755</v>
      </c>
      <c r="Y101" s="79">
        <v>-280</v>
      </c>
      <c r="Z101" s="79">
        <v>-150</v>
      </c>
    </row>
    <row r="102" spans="2:26" x14ac:dyDescent="0.25">
      <c r="B102" s="84" t="s">
        <v>88</v>
      </c>
      <c r="C102" s="79">
        <v>-324.89</v>
      </c>
      <c r="D102" s="79">
        <v>-389.99</v>
      </c>
      <c r="E102" s="79">
        <v>-389.99</v>
      </c>
      <c r="F102" s="79">
        <v>-1258.8900000000001</v>
      </c>
      <c r="G102" s="79">
        <v>-1258.8900000000001</v>
      </c>
      <c r="H102" s="79">
        <v>-1301.83</v>
      </c>
      <c r="I102" s="79">
        <v>-1340.06</v>
      </c>
      <c r="J102" s="79">
        <v>-1468.48</v>
      </c>
      <c r="K102" s="79">
        <v>-1468.48</v>
      </c>
      <c r="L102" s="79">
        <v>-1506.38</v>
      </c>
      <c r="M102" s="79">
        <v>-1506.38</v>
      </c>
      <c r="N102" s="79">
        <v>-2428.98</v>
      </c>
      <c r="O102" s="79">
        <v>-324.89</v>
      </c>
      <c r="P102" s="79">
        <v>-65.099999999999994</v>
      </c>
      <c r="R102" s="79">
        <v>-868.9</v>
      </c>
      <c r="T102" s="79">
        <v>-42.94</v>
      </c>
      <c r="U102" s="79">
        <v>-38.229999999999997</v>
      </c>
      <c r="V102" s="79">
        <v>-128.41999999999999</v>
      </c>
      <c r="X102" s="79">
        <v>-37.9</v>
      </c>
      <c r="Z102" s="79">
        <v>-922.6</v>
      </c>
    </row>
    <row r="103" spans="2:26" x14ac:dyDescent="0.25">
      <c r="B103" s="84" t="s">
        <v>87</v>
      </c>
      <c r="C103" s="79">
        <v>-736.4</v>
      </c>
      <c r="D103" s="79">
        <v>-1284.58</v>
      </c>
      <c r="E103" s="79">
        <v>-1796.01</v>
      </c>
      <c r="F103" s="79">
        <v>-2968.13</v>
      </c>
      <c r="G103" s="79">
        <v>-3463.72</v>
      </c>
      <c r="H103" s="79">
        <v>-3879.57</v>
      </c>
      <c r="I103" s="79">
        <v>-4297.53</v>
      </c>
      <c r="J103" s="79">
        <v>-4653.5200000000004</v>
      </c>
      <c r="K103" s="79">
        <v>-5161.8999999999996</v>
      </c>
      <c r="L103" s="79">
        <v>-5795.26</v>
      </c>
      <c r="M103" s="79">
        <v>-6157.89</v>
      </c>
      <c r="N103" s="79">
        <v>-6667.89</v>
      </c>
      <c r="O103" s="79">
        <v>-736.4</v>
      </c>
      <c r="P103" s="79">
        <v>-548.17999999999995</v>
      </c>
      <c r="Q103" s="79">
        <v>-511.43</v>
      </c>
      <c r="R103" s="79">
        <v>-1172.1199999999999</v>
      </c>
      <c r="S103" s="79">
        <v>-495.59</v>
      </c>
      <c r="T103" s="79">
        <v>-415.85</v>
      </c>
      <c r="U103" s="79">
        <v>-417.96</v>
      </c>
      <c r="V103" s="79">
        <v>-355.99</v>
      </c>
      <c r="W103" s="79">
        <v>-508.38</v>
      </c>
      <c r="X103" s="79">
        <v>-633.36</v>
      </c>
      <c r="Y103" s="79">
        <v>-362.63</v>
      </c>
      <c r="Z103" s="79">
        <v>-510</v>
      </c>
    </row>
    <row r="104" spans="2:26" x14ac:dyDescent="0.25">
      <c r="B104" s="84" t="s">
        <v>236</v>
      </c>
      <c r="C104" s="79">
        <v>0</v>
      </c>
      <c r="D104" s="79">
        <v>0</v>
      </c>
      <c r="E104" s="79">
        <v>0</v>
      </c>
      <c r="F104" s="79">
        <v>0</v>
      </c>
      <c r="G104" s="79">
        <v>0</v>
      </c>
      <c r="H104" s="79">
        <v>0</v>
      </c>
      <c r="I104" s="79">
        <v>0</v>
      </c>
      <c r="J104" s="79">
        <v>0</v>
      </c>
      <c r="K104" s="79">
        <v>0</v>
      </c>
      <c r="L104" s="79">
        <v>0</v>
      </c>
      <c r="M104" s="79">
        <v>0</v>
      </c>
      <c r="N104" s="79">
        <v>0</v>
      </c>
      <c r="O104" s="79">
        <v>0</v>
      </c>
      <c r="P104" s="79">
        <v>0</v>
      </c>
    </row>
    <row r="105" spans="2:26" x14ac:dyDescent="0.25">
      <c r="B105" s="84" t="s">
        <v>86</v>
      </c>
    </row>
  </sheetData>
  <conditionalFormatting sqref="C6:AD6">
    <cfRule type="cellIs" dxfId="196" priority="1" operator="notBetween">
      <formula>-0.005</formula>
      <formula>0.005</formula>
    </cfRule>
    <cfRule type="cellIs" dxfId="195" priority="2" operator="between">
      <formula>-0.005</formula>
      <formula>0.005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59999389629810485"/>
  </sheetPr>
  <dimension ref="B1:AD105"/>
  <sheetViews>
    <sheetView topLeftCell="B5" workbookViewId="0">
      <pane xSplit="1" ySplit="5" topLeftCell="C10" activePane="bottomRight" state="frozen"/>
      <selection activeCell="B5" sqref="B5"/>
      <selection pane="topRight" activeCell="C5" sqref="C5"/>
      <selection pane="bottomLeft" activeCell="B10" sqref="B10"/>
      <selection pane="bottomRight" activeCell="C27" sqref="C27"/>
    </sheetView>
  </sheetViews>
  <sheetFormatPr defaultRowHeight="15" x14ac:dyDescent="0.25"/>
  <cols>
    <col min="1" max="1" width="9.140625" style="79"/>
    <col min="2" max="2" width="11.7109375" style="79" customWidth="1"/>
    <col min="3" max="15" width="13.7109375" style="79" customWidth="1"/>
    <col min="16" max="16384" width="9.140625" style="79"/>
  </cols>
  <sheetData>
    <row r="1" spans="2:30" ht="18.75" x14ac:dyDescent="0.3">
      <c r="B1" s="56" t="s">
        <v>139</v>
      </c>
    </row>
    <row r="2" spans="2:30" ht="18.75" x14ac:dyDescent="0.3">
      <c r="B2" s="56" t="s">
        <v>140</v>
      </c>
      <c r="G2" s="79" t="s">
        <v>143</v>
      </c>
      <c r="H2" s="79" t="s">
        <v>143</v>
      </c>
    </row>
    <row r="3" spans="2:30" ht="18.75" x14ac:dyDescent="0.3">
      <c r="B3" s="56"/>
    </row>
    <row r="4" spans="2:30" ht="18.75" x14ac:dyDescent="0.3">
      <c r="B4" s="56"/>
    </row>
    <row r="5" spans="2:30" x14ac:dyDescent="0.25">
      <c r="B5" s="79">
        <v>1</v>
      </c>
      <c r="C5" s="106">
        <v>2</v>
      </c>
      <c r="D5" s="106">
        <v>3</v>
      </c>
      <c r="E5" s="106">
        <v>4</v>
      </c>
      <c r="F5" s="106">
        <v>5</v>
      </c>
      <c r="G5" s="106">
        <v>6</v>
      </c>
      <c r="H5" s="106">
        <v>7</v>
      </c>
      <c r="I5" s="106">
        <v>8</v>
      </c>
      <c r="J5" s="106">
        <v>9</v>
      </c>
      <c r="K5" s="106">
        <v>10</v>
      </c>
      <c r="L5" s="106">
        <v>11</v>
      </c>
      <c r="M5" s="106">
        <v>12</v>
      </c>
      <c r="N5" s="106">
        <v>13</v>
      </c>
      <c r="O5" s="106">
        <v>14</v>
      </c>
      <c r="P5" s="106">
        <v>15</v>
      </c>
      <c r="Q5" s="106">
        <v>16</v>
      </c>
      <c r="R5" s="106">
        <v>17</v>
      </c>
      <c r="S5" s="79">
        <v>18</v>
      </c>
      <c r="T5" s="79">
        <v>19</v>
      </c>
      <c r="U5" s="79">
        <v>20</v>
      </c>
      <c r="V5" s="79">
        <v>21</v>
      </c>
      <c r="W5" s="79">
        <v>22</v>
      </c>
      <c r="X5" s="79">
        <v>23</v>
      </c>
      <c r="Y5" s="79">
        <v>24</v>
      </c>
      <c r="Z5" s="79">
        <v>25</v>
      </c>
    </row>
    <row r="6" spans="2:30" x14ac:dyDescent="0.25">
      <c r="C6" s="60">
        <f>SUM(C10:C104)</f>
        <v>2.5181634555337951E-11</v>
      </c>
      <c r="D6" s="60">
        <f t="shared" ref="D6:AD6" si="0">SUM(D10:D104)</f>
        <v>6.7643668444361538E-12</v>
      </c>
      <c r="E6" s="60">
        <f t="shared" si="0"/>
        <v>6.7643668444361538E-12</v>
      </c>
      <c r="F6" s="60">
        <f t="shared" si="0"/>
        <v>6.7643668444361538E-12</v>
      </c>
      <c r="G6" s="60">
        <f t="shared" si="0"/>
        <v>6.7643668444361538E-12</v>
      </c>
      <c r="H6" s="60">
        <f t="shared" si="0"/>
        <v>6.7643668444361538E-12</v>
      </c>
      <c r="I6" s="60">
        <f t="shared" si="0"/>
        <v>6.7643668444361538E-12</v>
      </c>
      <c r="J6" s="60">
        <f t="shared" si="0"/>
        <v>6.7643668444361538E-12</v>
      </c>
      <c r="K6" s="60">
        <f t="shared" si="0"/>
        <v>6.7643668444361538E-12</v>
      </c>
      <c r="L6" s="60">
        <f t="shared" si="0"/>
        <v>6.7643668444361538E-12</v>
      </c>
      <c r="M6" s="60">
        <f t="shared" si="0"/>
        <v>6.7643668444361538E-12</v>
      </c>
      <c r="N6" s="60">
        <f t="shared" si="0"/>
        <v>6.7643668444361538E-12</v>
      </c>
      <c r="O6" s="60">
        <f t="shared" si="0"/>
        <v>-725358.55999999982</v>
      </c>
      <c r="P6" s="60">
        <f t="shared" si="0"/>
        <v>-326096.81</v>
      </c>
      <c r="Q6" s="60">
        <f t="shared" si="0"/>
        <v>-1292.8399999999999</v>
      </c>
      <c r="R6" s="60">
        <f t="shared" si="0"/>
        <v>-118.3</v>
      </c>
      <c r="S6" s="60">
        <f t="shared" si="0"/>
        <v>-1902.95</v>
      </c>
      <c r="T6" s="60">
        <f t="shared" si="0"/>
        <v>0</v>
      </c>
      <c r="U6" s="60">
        <f t="shared" si="0"/>
        <v>0</v>
      </c>
      <c r="V6" s="60">
        <f t="shared" si="0"/>
        <v>0</v>
      </c>
      <c r="W6" s="60">
        <f t="shared" si="0"/>
        <v>0</v>
      </c>
      <c r="X6" s="60">
        <f t="shared" si="0"/>
        <v>0</v>
      </c>
      <c r="Y6" s="60">
        <f t="shared" si="0"/>
        <v>0</v>
      </c>
      <c r="Z6" s="60">
        <f t="shared" si="0"/>
        <v>0</v>
      </c>
      <c r="AA6" s="60">
        <f t="shared" si="0"/>
        <v>0</v>
      </c>
      <c r="AB6" s="60">
        <f t="shared" si="0"/>
        <v>0</v>
      </c>
      <c r="AC6" s="60">
        <f t="shared" si="0"/>
        <v>0</v>
      </c>
      <c r="AD6" s="60">
        <f t="shared" si="0"/>
        <v>0</v>
      </c>
    </row>
    <row r="7" spans="2:30" x14ac:dyDescent="0.25">
      <c r="B7" s="84">
        <v>1</v>
      </c>
      <c r="C7" s="79" t="s">
        <v>1</v>
      </c>
      <c r="D7" s="79" t="s">
        <v>1</v>
      </c>
      <c r="E7" s="79" t="s">
        <v>1</v>
      </c>
      <c r="F7" s="79" t="s">
        <v>1</v>
      </c>
      <c r="G7" s="79" t="s">
        <v>1</v>
      </c>
      <c r="H7" s="79" t="s">
        <v>1</v>
      </c>
      <c r="I7" s="79" t="s">
        <v>1</v>
      </c>
      <c r="J7" s="79" t="s">
        <v>1</v>
      </c>
      <c r="K7" s="79" t="s">
        <v>1</v>
      </c>
      <c r="L7" s="79" t="s">
        <v>1</v>
      </c>
      <c r="M7" s="79" t="s">
        <v>1</v>
      </c>
      <c r="N7" s="79" t="s">
        <v>1</v>
      </c>
      <c r="O7" s="79" t="s">
        <v>84</v>
      </c>
      <c r="P7" s="79" t="s">
        <v>84</v>
      </c>
      <c r="Q7" s="79" t="s">
        <v>84</v>
      </c>
      <c r="R7" s="79" t="s">
        <v>84</v>
      </c>
      <c r="S7" s="79" t="s">
        <v>84</v>
      </c>
    </row>
    <row r="8" spans="2:30" x14ac:dyDescent="0.25">
      <c r="B8" s="84">
        <v>2</v>
      </c>
      <c r="C8" s="79" t="s">
        <v>464</v>
      </c>
      <c r="D8" s="79" t="s">
        <v>465</v>
      </c>
      <c r="E8" s="79" t="s">
        <v>466</v>
      </c>
      <c r="F8" s="79" t="s">
        <v>467</v>
      </c>
      <c r="G8" s="79" t="s">
        <v>468</v>
      </c>
      <c r="H8" s="79" t="s">
        <v>469</v>
      </c>
      <c r="I8" s="79" t="s">
        <v>470</v>
      </c>
      <c r="J8" s="79" t="s">
        <v>471</v>
      </c>
      <c r="K8" s="79" t="s">
        <v>472</v>
      </c>
      <c r="L8" s="79" t="s">
        <v>473</v>
      </c>
      <c r="M8" s="79" t="s">
        <v>474</v>
      </c>
      <c r="N8" s="79" t="s">
        <v>475</v>
      </c>
      <c r="O8" s="79" t="s">
        <v>464</v>
      </c>
      <c r="P8" s="79" t="s">
        <v>465</v>
      </c>
      <c r="Q8" s="79" t="s">
        <v>466</v>
      </c>
      <c r="R8" s="79" t="s">
        <v>471</v>
      </c>
      <c r="S8" s="79" t="s">
        <v>472</v>
      </c>
    </row>
    <row r="9" spans="2:30" x14ac:dyDescent="0.25">
      <c r="B9" s="84">
        <v>3</v>
      </c>
      <c r="C9" s="79" t="s">
        <v>476</v>
      </c>
      <c r="D9" s="79" t="s">
        <v>477</v>
      </c>
      <c r="E9" s="79" t="s">
        <v>478</v>
      </c>
      <c r="F9" s="79" t="s">
        <v>479</v>
      </c>
      <c r="G9" s="79" t="s">
        <v>480</v>
      </c>
      <c r="H9" s="79" t="s">
        <v>481</v>
      </c>
      <c r="I9" s="79" t="s">
        <v>482</v>
      </c>
      <c r="J9" s="79" t="s">
        <v>483</v>
      </c>
      <c r="K9" s="79" t="s">
        <v>484</v>
      </c>
      <c r="L9" s="79" t="s">
        <v>485</v>
      </c>
      <c r="M9" s="79" t="s">
        <v>486</v>
      </c>
      <c r="N9" s="79" t="s">
        <v>487</v>
      </c>
      <c r="O9" s="79" t="s">
        <v>488</v>
      </c>
      <c r="P9" s="79" t="s">
        <v>489</v>
      </c>
      <c r="Q9" s="79" t="s">
        <v>490</v>
      </c>
      <c r="R9" s="79" t="s">
        <v>491</v>
      </c>
      <c r="S9" s="79" t="s">
        <v>492</v>
      </c>
    </row>
    <row r="10" spans="2:30" x14ac:dyDescent="0.25">
      <c r="B10" s="84" t="s">
        <v>368</v>
      </c>
    </row>
    <row r="11" spans="2:30" x14ac:dyDescent="0.25">
      <c r="B11" s="84" t="s">
        <v>218</v>
      </c>
    </row>
    <row r="12" spans="2:30" x14ac:dyDescent="0.25">
      <c r="B12" s="84" t="s">
        <v>219</v>
      </c>
    </row>
    <row r="13" spans="2:30" x14ac:dyDescent="0.25">
      <c r="B13" s="84" t="s">
        <v>220</v>
      </c>
    </row>
    <row r="14" spans="2:30" x14ac:dyDescent="0.25">
      <c r="B14" s="84" t="s">
        <v>221</v>
      </c>
    </row>
    <row r="15" spans="2:30" x14ac:dyDescent="0.25">
      <c r="B15" s="84" t="s">
        <v>222</v>
      </c>
    </row>
    <row r="16" spans="2:30" x14ac:dyDescent="0.25">
      <c r="B16" s="84" t="s">
        <v>119</v>
      </c>
      <c r="C16" s="79">
        <v>37178.410000000003</v>
      </c>
      <c r="D16" s="79">
        <v>36206.81</v>
      </c>
      <c r="E16" s="79">
        <v>36206.81</v>
      </c>
      <c r="F16" s="79">
        <v>36206.81</v>
      </c>
      <c r="G16" s="79">
        <v>36206.81</v>
      </c>
      <c r="H16" s="79">
        <v>36206.81</v>
      </c>
      <c r="I16" s="79">
        <v>36206.81</v>
      </c>
      <c r="J16" s="79">
        <v>36206.81</v>
      </c>
      <c r="K16" s="79">
        <v>36206.81</v>
      </c>
      <c r="L16" s="79">
        <v>36206.81</v>
      </c>
      <c r="M16" s="79">
        <v>36206.81</v>
      </c>
      <c r="N16" s="79">
        <v>36206.81</v>
      </c>
      <c r="O16" s="79">
        <v>-10338.9</v>
      </c>
      <c r="P16" s="79">
        <v>-971.6</v>
      </c>
    </row>
    <row r="17" spans="2:19" x14ac:dyDescent="0.25">
      <c r="B17" s="84" t="s">
        <v>406</v>
      </c>
    </row>
    <row r="18" spans="2:19" x14ac:dyDescent="0.25">
      <c r="B18" s="84" t="s">
        <v>118</v>
      </c>
      <c r="C18" s="79">
        <v>-12371.83</v>
      </c>
      <c r="D18" s="79">
        <v>-3956.62</v>
      </c>
      <c r="E18" s="79">
        <v>-3956.62</v>
      </c>
      <c r="F18" s="79">
        <v>-3956.62</v>
      </c>
      <c r="G18" s="79">
        <v>-3956.62</v>
      </c>
      <c r="H18" s="79">
        <v>-3956.62</v>
      </c>
      <c r="I18" s="79">
        <v>-3956.62</v>
      </c>
      <c r="J18" s="79">
        <v>-3956.62</v>
      </c>
      <c r="K18" s="79">
        <v>-3956.62</v>
      </c>
      <c r="L18" s="79">
        <v>-3956.62</v>
      </c>
      <c r="M18" s="79">
        <v>-3956.62</v>
      </c>
      <c r="N18" s="79">
        <v>-3956.62</v>
      </c>
      <c r="O18" s="79">
        <v>-101075.48</v>
      </c>
      <c r="P18" s="79">
        <v>-68355.899999999994</v>
      </c>
    </row>
    <row r="19" spans="2:19" x14ac:dyDescent="0.25">
      <c r="B19" s="84" t="s">
        <v>407</v>
      </c>
    </row>
    <row r="20" spans="2:19" x14ac:dyDescent="0.25">
      <c r="B20" s="84" t="s">
        <v>282</v>
      </c>
    </row>
    <row r="21" spans="2:19" x14ac:dyDescent="0.25">
      <c r="B21" s="84" t="s">
        <v>319</v>
      </c>
    </row>
    <row r="22" spans="2:19" x14ac:dyDescent="0.25">
      <c r="B22" s="84" t="s">
        <v>408</v>
      </c>
    </row>
    <row r="23" spans="2:19" x14ac:dyDescent="0.25">
      <c r="B23" s="84" t="s">
        <v>223</v>
      </c>
      <c r="C23" s="79">
        <v>-838</v>
      </c>
      <c r="D23" s="79">
        <v>-838</v>
      </c>
      <c r="E23" s="79">
        <v>-838</v>
      </c>
      <c r="F23" s="79">
        <v>-838</v>
      </c>
      <c r="G23" s="79">
        <v>-838</v>
      </c>
      <c r="H23" s="79">
        <v>-838</v>
      </c>
      <c r="I23" s="79">
        <v>-838</v>
      </c>
      <c r="J23" s="79">
        <v>-838</v>
      </c>
      <c r="K23" s="79">
        <v>-838</v>
      </c>
      <c r="L23" s="79">
        <v>-838</v>
      </c>
      <c r="M23" s="79">
        <v>-838</v>
      </c>
      <c r="N23" s="79">
        <v>-838</v>
      </c>
      <c r="O23" s="79">
        <v>-838</v>
      </c>
    </row>
    <row r="24" spans="2:19" x14ac:dyDescent="0.25">
      <c r="B24" s="84" t="s">
        <v>320</v>
      </c>
      <c r="C24" s="79">
        <v>-1335</v>
      </c>
      <c r="D24" s="79">
        <v>-1335</v>
      </c>
      <c r="E24" s="79">
        <v>-1335</v>
      </c>
      <c r="F24" s="79">
        <v>-1335</v>
      </c>
      <c r="G24" s="79">
        <v>-1335</v>
      </c>
      <c r="H24" s="79">
        <v>-1335</v>
      </c>
      <c r="I24" s="79">
        <v>-1335</v>
      </c>
      <c r="J24" s="79">
        <v>-1335</v>
      </c>
      <c r="K24" s="79">
        <v>-1335</v>
      </c>
      <c r="L24" s="79">
        <v>-1335</v>
      </c>
      <c r="M24" s="79">
        <v>-1335</v>
      </c>
      <c r="N24" s="79">
        <v>-1335</v>
      </c>
      <c r="O24" s="79">
        <v>-1335</v>
      </c>
    </row>
    <row r="25" spans="2:19" x14ac:dyDescent="0.25">
      <c r="B25" s="84" t="s">
        <v>117</v>
      </c>
      <c r="C25" s="79">
        <v>-278.19</v>
      </c>
      <c r="D25" s="79">
        <v>-283.39</v>
      </c>
      <c r="E25" s="79">
        <v>-283.39</v>
      </c>
      <c r="F25" s="79">
        <v>-283.39</v>
      </c>
      <c r="G25" s="79">
        <v>-283.39</v>
      </c>
      <c r="H25" s="79">
        <v>-283.39</v>
      </c>
      <c r="I25" s="79">
        <v>-283.39</v>
      </c>
      <c r="J25" s="79">
        <v>-283.39</v>
      </c>
      <c r="K25" s="79">
        <v>-283.39</v>
      </c>
      <c r="L25" s="79">
        <v>-283.39</v>
      </c>
      <c r="M25" s="79">
        <v>-283.39</v>
      </c>
      <c r="N25" s="79">
        <v>-283.39</v>
      </c>
      <c r="O25" s="79">
        <v>-278.19</v>
      </c>
      <c r="P25" s="79">
        <v>-5.2</v>
      </c>
    </row>
    <row r="26" spans="2:19" x14ac:dyDescent="0.25">
      <c r="B26" s="84" t="s">
        <v>116</v>
      </c>
      <c r="C26" s="79">
        <v>-46849.93</v>
      </c>
      <c r="D26" s="79">
        <v>-41205.46</v>
      </c>
      <c r="E26" s="79">
        <v>-39912.620000000003</v>
      </c>
      <c r="F26" s="79">
        <v>-39912.620000000003</v>
      </c>
      <c r="G26" s="79">
        <v>-39912.620000000003</v>
      </c>
      <c r="H26" s="79">
        <v>-39912.620000000003</v>
      </c>
      <c r="I26" s="79">
        <v>-39912.620000000003</v>
      </c>
      <c r="J26" s="79">
        <v>-39794.32</v>
      </c>
      <c r="K26" s="79">
        <v>-41249.269999999997</v>
      </c>
      <c r="L26" s="79">
        <v>-41249.269999999997</v>
      </c>
      <c r="M26" s="79">
        <v>-41249.269999999997</v>
      </c>
      <c r="N26" s="79">
        <v>-41249.269999999997</v>
      </c>
      <c r="O26" s="79">
        <v>-120238.19</v>
      </c>
      <c r="P26" s="79">
        <v>-94786.04</v>
      </c>
      <c r="S26" s="79">
        <v>-1678.95</v>
      </c>
    </row>
    <row r="27" spans="2:19" x14ac:dyDescent="0.25">
      <c r="B27" s="84" t="s">
        <v>144</v>
      </c>
      <c r="C27" s="79">
        <v>0</v>
      </c>
      <c r="D27" s="79">
        <v>0</v>
      </c>
      <c r="E27" s="79">
        <v>0</v>
      </c>
      <c r="F27" s="79">
        <v>0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  <c r="O27" s="79">
        <v>-73808.88</v>
      </c>
      <c r="P27" s="79">
        <v>-28439.22</v>
      </c>
    </row>
    <row r="28" spans="2:19" x14ac:dyDescent="0.25">
      <c r="B28" s="84" t="s">
        <v>224</v>
      </c>
    </row>
    <row r="29" spans="2:19" x14ac:dyDescent="0.25">
      <c r="B29" s="84" t="s">
        <v>225</v>
      </c>
      <c r="C29" s="79">
        <v>-16589.919999999998</v>
      </c>
      <c r="D29" s="79">
        <v>-16589.919999999998</v>
      </c>
      <c r="E29" s="79">
        <v>-16589.919999999998</v>
      </c>
      <c r="F29" s="79">
        <v>-16589.919999999998</v>
      </c>
      <c r="G29" s="79">
        <v>-16589.919999999998</v>
      </c>
      <c r="H29" s="79">
        <v>-16589.919999999998</v>
      </c>
      <c r="I29" s="79">
        <v>-16589.919999999998</v>
      </c>
      <c r="J29" s="79">
        <v>-16589.919999999998</v>
      </c>
      <c r="K29" s="79">
        <v>-16589.919999999998</v>
      </c>
      <c r="L29" s="79">
        <v>-16589.919999999998</v>
      </c>
      <c r="M29" s="79">
        <v>-16589.919999999998</v>
      </c>
      <c r="N29" s="79">
        <v>-16589.919999999998</v>
      </c>
      <c r="O29" s="79">
        <v>-62495.94</v>
      </c>
    </row>
    <row r="30" spans="2:19" x14ac:dyDescent="0.25">
      <c r="B30" s="84" t="s">
        <v>115</v>
      </c>
    </row>
    <row r="31" spans="2:19" x14ac:dyDescent="0.25">
      <c r="B31" s="84" t="s">
        <v>226</v>
      </c>
    </row>
    <row r="32" spans="2:19" x14ac:dyDescent="0.25">
      <c r="B32" s="84" t="s">
        <v>227</v>
      </c>
      <c r="C32" s="79">
        <v>-74.430000000000007</v>
      </c>
      <c r="D32" s="79">
        <v>-150.85</v>
      </c>
      <c r="E32" s="79">
        <v>-150.85</v>
      </c>
      <c r="F32" s="79">
        <v>-150.85</v>
      </c>
      <c r="G32" s="79">
        <v>-150.85</v>
      </c>
      <c r="H32" s="79">
        <v>-150.85</v>
      </c>
      <c r="I32" s="79">
        <v>-150.85</v>
      </c>
      <c r="J32" s="79">
        <v>-150.85</v>
      </c>
      <c r="K32" s="79">
        <v>-150.85</v>
      </c>
      <c r="L32" s="79">
        <v>-150.85</v>
      </c>
      <c r="M32" s="79">
        <v>-150.85</v>
      </c>
      <c r="N32" s="79">
        <v>-150.85</v>
      </c>
      <c r="O32" s="79">
        <v>-150.85</v>
      </c>
      <c r="P32" s="79">
        <v>-76.42</v>
      </c>
    </row>
    <row r="33" spans="2:19" x14ac:dyDescent="0.25">
      <c r="B33" s="84" t="s">
        <v>228</v>
      </c>
      <c r="C33" s="79">
        <v>5.5</v>
      </c>
      <c r="D33" s="79">
        <v>5.5</v>
      </c>
      <c r="E33" s="79">
        <v>5.5</v>
      </c>
      <c r="F33" s="79">
        <v>5.5</v>
      </c>
      <c r="G33" s="79">
        <v>5.5</v>
      </c>
      <c r="H33" s="79">
        <v>5.5</v>
      </c>
      <c r="I33" s="79">
        <v>5.5</v>
      </c>
      <c r="J33" s="79">
        <v>5.5</v>
      </c>
      <c r="K33" s="79">
        <v>5.5</v>
      </c>
      <c r="L33" s="79">
        <v>5.5</v>
      </c>
      <c r="M33" s="79">
        <v>5.5</v>
      </c>
      <c r="N33" s="79">
        <v>5.5</v>
      </c>
    </row>
    <row r="34" spans="2:19" x14ac:dyDescent="0.25">
      <c r="B34" s="84" t="s">
        <v>158</v>
      </c>
      <c r="C34" s="79">
        <v>-156.84</v>
      </c>
      <c r="D34" s="79">
        <v>-156.84</v>
      </c>
      <c r="E34" s="79">
        <v>-156.84</v>
      </c>
      <c r="F34" s="79">
        <v>-156.84</v>
      </c>
      <c r="G34" s="79">
        <v>-156.84</v>
      </c>
      <c r="H34" s="79">
        <v>-156.84</v>
      </c>
      <c r="I34" s="79">
        <v>-156.84</v>
      </c>
      <c r="J34" s="79">
        <v>-156.84</v>
      </c>
      <c r="K34" s="79">
        <v>-156.84</v>
      </c>
      <c r="L34" s="79">
        <v>-156.84</v>
      </c>
      <c r="M34" s="79">
        <v>-156.84</v>
      </c>
      <c r="N34" s="79">
        <v>-156.84</v>
      </c>
      <c r="O34" s="79">
        <v>-1450.68</v>
      </c>
    </row>
    <row r="35" spans="2:19" x14ac:dyDescent="0.25">
      <c r="B35" s="84" t="s">
        <v>132</v>
      </c>
      <c r="C35" s="79">
        <v>66738.97</v>
      </c>
      <c r="D35" s="79">
        <v>66738.97</v>
      </c>
      <c r="E35" s="79">
        <v>66738.97</v>
      </c>
      <c r="F35" s="79">
        <v>66738.97</v>
      </c>
      <c r="G35" s="79">
        <v>66738.97</v>
      </c>
      <c r="H35" s="79">
        <v>66738.97</v>
      </c>
      <c r="I35" s="79">
        <v>66738.97</v>
      </c>
      <c r="J35" s="79">
        <v>66738.97</v>
      </c>
      <c r="K35" s="79">
        <v>66738.97</v>
      </c>
      <c r="L35" s="79">
        <v>66738.97</v>
      </c>
      <c r="M35" s="79">
        <v>66738.97</v>
      </c>
      <c r="N35" s="79">
        <v>66738.97</v>
      </c>
    </row>
    <row r="36" spans="2:19" x14ac:dyDescent="0.25">
      <c r="B36" s="84" t="s">
        <v>159</v>
      </c>
      <c r="C36" s="79">
        <v>-4238.97</v>
      </c>
      <c r="D36" s="79">
        <v>-4238.97</v>
      </c>
      <c r="E36" s="79">
        <v>-4238.97</v>
      </c>
      <c r="F36" s="79">
        <v>-4238.97</v>
      </c>
      <c r="G36" s="79">
        <v>-4238.97</v>
      </c>
      <c r="H36" s="79">
        <v>-4238.97</v>
      </c>
      <c r="I36" s="79">
        <v>-4238.97</v>
      </c>
      <c r="J36" s="79">
        <v>-4238.97</v>
      </c>
      <c r="K36" s="79">
        <v>-4238.97</v>
      </c>
      <c r="L36" s="79">
        <v>-4238.97</v>
      </c>
      <c r="M36" s="79">
        <v>-4238.97</v>
      </c>
      <c r="N36" s="79">
        <v>-4238.97</v>
      </c>
      <c r="O36" s="79">
        <v>-66738.97</v>
      </c>
    </row>
    <row r="37" spans="2:19" x14ac:dyDescent="0.25">
      <c r="B37" s="84" t="s">
        <v>160</v>
      </c>
    </row>
    <row r="38" spans="2:19" x14ac:dyDescent="0.25">
      <c r="B38" s="84" t="s">
        <v>161</v>
      </c>
    </row>
    <row r="39" spans="2:19" x14ac:dyDescent="0.25">
      <c r="B39" s="84" t="s">
        <v>162</v>
      </c>
      <c r="C39" s="79">
        <v>37043.019999999997</v>
      </c>
      <c r="D39" s="79">
        <v>55260.27</v>
      </c>
      <c r="E39" s="79">
        <v>55260.27</v>
      </c>
      <c r="F39" s="79">
        <v>55260.27</v>
      </c>
      <c r="G39" s="79">
        <v>55260.27</v>
      </c>
      <c r="H39" s="79">
        <v>55260.27</v>
      </c>
      <c r="I39" s="79">
        <v>55260.27</v>
      </c>
      <c r="J39" s="79">
        <v>55260.27</v>
      </c>
      <c r="K39" s="79">
        <v>55260.27</v>
      </c>
      <c r="L39" s="79">
        <v>55260.27</v>
      </c>
      <c r="M39" s="79">
        <v>55260.27</v>
      </c>
      <c r="N39" s="79">
        <v>55260.27</v>
      </c>
    </row>
    <row r="40" spans="2:19" x14ac:dyDescent="0.25">
      <c r="B40" s="84" t="s">
        <v>163</v>
      </c>
      <c r="C40" s="79">
        <v>-1678.95</v>
      </c>
      <c r="D40" s="79">
        <v>-1678.95</v>
      </c>
      <c r="E40" s="79">
        <v>-1678.95</v>
      </c>
      <c r="F40" s="79">
        <v>-1678.95</v>
      </c>
      <c r="G40" s="79">
        <v>-1678.95</v>
      </c>
      <c r="H40" s="79">
        <v>-1678.95</v>
      </c>
      <c r="I40" s="79">
        <v>-1678.95</v>
      </c>
      <c r="J40" s="79">
        <v>-1678.95</v>
      </c>
      <c r="K40" s="79">
        <v>0</v>
      </c>
      <c r="L40" s="79">
        <v>0</v>
      </c>
      <c r="M40" s="79">
        <v>0</v>
      </c>
      <c r="N40" s="79">
        <v>0</v>
      </c>
      <c r="O40" s="79">
        <v>-10684.32</v>
      </c>
      <c r="P40" s="79">
        <v>-5012.7</v>
      </c>
    </row>
    <row r="41" spans="2:19" x14ac:dyDescent="0.25">
      <c r="B41" s="84" t="s">
        <v>321</v>
      </c>
    </row>
    <row r="42" spans="2:19" x14ac:dyDescent="0.25">
      <c r="B42" s="84" t="s">
        <v>114</v>
      </c>
      <c r="C42" s="79">
        <v>-25652.87</v>
      </c>
      <c r="D42" s="79">
        <v>-50578.94</v>
      </c>
      <c r="E42" s="79">
        <v>-51871.78</v>
      </c>
      <c r="F42" s="79">
        <v>-51871.78</v>
      </c>
      <c r="G42" s="79">
        <v>-51871.78</v>
      </c>
      <c r="H42" s="79">
        <v>-51871.78</v>
      </c>
      <c r="I42" s="79">
        <v>-51871.78</v>
      </c>
      <c r="J42" s="79">
        <v>-51990.080000000002</v>
      </c>
      <c r="K42" s="79">
        <v>-52214.080000000002</v>
      </c>
      <c r="L42" s="79">
        <v>-52214.080000000002</v>
      </c>
      <c r="M42" s="79">
        <v>-52214.080000000002</v>
      </c>
      <c r="N42" s="79">
        <v>-52214.080000000002</v>
      </c>
      <c r="O42" s="79">
        <v>-111313.8</v>
      </c>
      <c r="P42" s="79">
        <v>-49572.44</v>
      </c>
      <c r="Q42" s="79">
        <v>-1292.8399999999999</v>
      </c>
      <c r="R42" s="79">
        <v>-118.3</v>
      </c>
      <c r="S42" s="79">
        <v>-224</v>
      </c>
    </row>
    <row r="43" spans="2:19" x14ac:dyDescent="0.25">
      <c r="B43" s="84" t="s">
        <v>229</v>
      </c>
    </row>
    <row r="44" spans="2:19" x14ac:dyDescent="0.25">
      <c r="B44" s="84" t="s">
        <v>230</v>
      </c>
    </row>
    <row r="45" spans="2:19" x14ac:dyDescent="0.25">
      <c r="B45" s="84" t="s">
        <v>283</v>
      </c>
    </row>
    <row r="46" spans="2:19" x14ac:dyDescent="0.25">
      <c r="B46" s="84" t="s">
        <v>284</v>
      </c>
    </row>
    <row r="47" spans="2:19" x14ac:dyDescent="0.25">
      <c r="B47" s="84" t="s">
        <v>113</v>
      </c>
      <c r="C47" s="79">
        <v>-4978.8</v>
      </c>
      <c r="D47" s="79">
        <v>-24764.55</v>
      </c>
      <c r="E47" s="79">
        <v>-24764.55</v>
      </c>
      <c r="F47" s="79">
        <v>-24764.55</v>
      </c>
      <c r="G47" s="79">
        <v>-24764.55</v>
      </c>
      <c r="H47" s="79">
        <v>-24764.55</v>
      </c>
      <c r="I47" s="79">
        <v>-24764.55</v>
      </c>
      <c r="J47" s="79">
        <v>-24764.55</v>
      </c>
      <c r="K47" s="79">
        <v>-24764.55</v>
      </c>
      <c r="L47" s="79">
        <v>-24764.55</v>
      </c>
      <c r="M47" s="79">
        <v>-24764.55</v>
      </c>
      <c r="N47" s="79">
        <v>-24764.55</v>
      </c>
      <c r="O47" s="79">
        <v>-18343.8</v>
      </c>
      <c r="P47" s="79">
        <v>-19816.349999999999</v>
      </c>
    </row>
    <row r="48" spans="2:19" x14ac:dyDescent="0.25">
      <c r="B48" s="84" t="s">
        <v>112</v>
      </c>
      <c r="C48" s="79">
        <v>15176.42</v>
      </c>
      <c r="D48" s="79">
        <v>26384.1</v>
      </c>
      <c r="E48" s="79">
        <v>26384.1</v>
      </c>
      <c r="F48" s="79">
        <v>26384.1</v>
      </c>
      <c r="G48" s="79">
        <v>26384.1</v>
      </c>
      <c r="H48" s="79">
        <v>26384.1</v>
      </c>
      <c r="I48" s="79">
        <v>26384.1</v>
      </c>
      <c r="J48" s="79">
        <v>26384.1</v>
      </c>
      <c r="K48" s="79">
        <v>26384.1</v>
      </c>
      <c r="L48" s="79">
        <v>26384.1</v>
      </c>
      <c r="M48" s="79">
        <v>26384.1</v>
      </c>
      <c r="N48" s="79">
        <v>26384.1</v>
      </c>
      <c r="O48" s="79">
        <v>-662.52</v>
      </c>
      <c r="P48" s="79">
        <v>0</v>
      </c>
    </row>
    <row r="49" spans="2:16" x14ac:dyDescent="0.25">
      <c r="B49" s="84" t="s">
        <v>111</v>
      </c>
      <c r="C49" s="79">
        <v>-17541.27</v>
      </c>
      <c r="D49" s="79">
        <v>-19030.55</v>
      </c>
      <c r="E49" s="79">
        <v>-19030.55</v>
      </c>
      <c r="F49" s="79">
        <v>-19030.55</v>
      </c>
      <c r="G49" s="79">
        <v>-19030.55</v>
      </c>
      <c r="H49" s="79">
        <v>-19030.55</v>
      </c>
      <c r="I49" s="79">
        <v>-19030.55</v>
      </c>
      <c r="J49" s="79">
        <v>-19030.55</v>
      </c>
      <c r="K49" s="79">
        <v>-19030.55</v>
      </c>
      <c r="L49" s="79">
        <v>-19030.55</v>
      </c>
      <c r="M49" s="79">
        <v>-19030.55</v>
      </c>
      <c r="N49" s="79">
        <v>-19030.55</v>
      </c>
      <c r="O49" s="79">
        <v>-17541.27</v>
      </c>
      <c r="P49" s="79">
        <v>-1489.28</v>
      </c>
    </row>
    <row r="50" spans="2:16" x14ac:dyDescent="0.25">
      <c r="B50" s="84" t="s">
        <v>110</v>
      </c>
      <c r="D50" s="79">
        <v>-47327.81</v>
      </c>
      <c r="E50" s="79">
        <v>-47327.81</v>
      </c>
      <c r="F50" s="79">
        <v>-47327.81</v>
      </c>
      <c r="G50" s="79">
        <v>-47327.81</v>
      </c>
      <c r="H50" s="79">
        <v>-47327.81</v>
      </c>
      <c r="I50" s="79">
        <v>-47327.81</v>
      </c>
      <c r="J50" s="79">
        <v>-47327.81</v>
      </c>
      <c r="K50" s="79">
        <v>-47327.81</v>
      </c>
      <c r="L50" s="79">
        <v>-47327.81</v>
      </c>
      <c r="M50" s="79">
        <v>-47327.81</v>
      </c>
      <c r="N50" s="79">
        <v>-47327.81</v>
      </c>
      <c r="P50" s="79">
        <v>-47327.81</v>
      </c>
    </row>
    <row r="51" spans="2:16" x14ac:dyDescent="0.25">
      <c r="B51" s="84" t="s">
        <v>413</v>
      </c>
    </row>
    <row r="52" spans="2:16" x14ac:dyDescent="0.25">
      <c r="B52" s="84" t="s">
        <v>109</v>
      </c>
      <c r="C52" s="79">
        <v>-4619.42</v>
      </c>
      <c r="D52" s="79">
        <v>-4338.0200000000004</v>
      </c>
      <c r="E52" s="79">
        <v>-4338.0200000000004</v>
      </c>
      <c r="F52" s="79">
        <v>-4338.0200000000004</v>
      </c>
      <c r="G52" s="79">
        <v>-4338.0200000000004</v>
      </c>
      <c r="H52" s="79">
        <v>-4338.0200000000004</v>
      </c>
      <c r="I52" s="79">
        <v>-4338.0200000000004</v>
      </c>
      <c r="J52" s="79">
        <v>-4338.0200000000004</v>
      </c>
      <c r="K52" s="79">
        <v>-4338.0200000000004</v>
      </c>
      <c r="L52" s="79">
        <v>-4338.0200000000004</v>
      </c>
      <c r="M52" s="79">
        <v>-4338.0200000000004</v>
      </c>
      <c r="N52" s="79">
        <v>-4338.0200000000004</v>
      </c>
      <c r="O52" s="79">
        <v>-6436.17</v>
      </c>
    </row>
    <row r="53" spans="2:16" x14ac:dyDescent="0.25">
      <c r="B53" s="84" t="s">
        <v>108</v>
      </c>
      <c r="C53" s="79">
        <v>0</v>
      </c>
      <c r="D53" s="79">
        <v>314.68</v>
      </c>
      <c r="E53" s="79">
        <v>314.68</v>
      </c>
      <c r="F53" s="79">
        <v>314.68</v>
      </c>
      <c r="G53" s="79">
        <v>314.68</v>
      </c>
      <c r="H53" s="79">
        <v>314.68</v>
      </c>
      <c r="I53" s="79">
        <v>314.68</v>
      </c>
      <c r="J53" s="79">
        <v>314.68</v>
      </c>
      <c r="K53" s="79">
        <v>314.68</v>
      </c>
      <c r="L53" s="79">
        <v>314.68</v>
      </c>
      <c r="M53" s="79">
        <v>314.68</v>
      </c>
      <c r="N53" s="79">
        <v>314.68</v>
      </c>
      <c r="O53" s="79">
        <v>-2197.16</v>
      </c>
    </row>
    <row r="54" spans="2:16" x14ac:dyDescent="0.25">
      <c r="B54" s="84" t="s">
        <v>107</v>
      </c>
      <c r="C54" s="79">
        <v>0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79">
        <v>0</v>
      </c>
      <c r="O54" s="79">
        <v>-14542.83</v>
      </c>
      <c r="P54" s="79">
        <v>-3609.64</v>
      </c>
    </row>
    <row r="55" spans="2:16" x14ac:dyDescent="0.25">
      <c r="B55" s="84" t="s">
        <v>231</v>
      </c>
    </row>
    <row r="56" spans="2:16" x14ac:dyDescent="0.25">
      <c r="B56" s="84" t="s">
        <v>285</v>
      </c>
    </row>
    <row r="57" spans="2:16" x14ac:dyDescent="0.25">
      <c r="B57" s="84" t="s">
        <v>232</v>
      </c>
    </row>
    <row r="58" spans="2:16" x14ac:dyDescent="0.25">
      <c r="B58" s="84" t="s">
        <v>286</v>
      </c>
    </row>
    <row r="59" spans="2:16" x14ac:dyDescent="0.25">
      <c r="B59" s="84" t="s">
        <v>106</v>
      </c>
      <c r="C59" s="79">
        <v>82969.42</v>
      </c>
      <c r="D59" s="79">
        <v>140034.56</v>
      </c>
      <c r="E59" s="79">
        <v>140034.56</v>
      </c>
      <c r="F59" s="79">
        <v>140034.56</v>
      </c>
      <c r="G59" s="79">
        <v>140034.56</v>
      </c>
      <c r="H59" s="79">
        <v>140034.56</v>
      </c>
      <c r="I59" s="79">
        <v>140034.56</v>
      </c>
      <c r="J59" s="79">
        <v>140034.56</v>
      </c>
      <c r="K59" s="79">
        <v>140034.56</v>
      </c>
      <c r="L59" s="79">
        <v>140034.56</v>
      </c>
      <c r="M59" s="79">
        <v>140034.56</v>
      </c>
      <c r="N59" s="79">
        <v>140034.56</v>
      </c>
      <c r="O59" s="79">
        <v>-2213.12</v>
      </c>
    </row>
    <row r="60" spans="2:16" x14ac:dyDescent="0.25">
      <c r="B60" s="84" t="s">
        <v>105</v>
      </c>
      <c r="C60" s="79">
        <v>-970.95</v>
      </c>
      <c r="D60" s="79">
        <v>-1108</v>
      </c>
      <c r="E60" s="79">
        <v>-1108</v>
      </c>
      <c r="F60" s="79">
        <v>-1108</v>
      </c>
      <c r="G60" s="79">
        <v>-1108</v>
      </c>
      <c r="H60" s="79">
        <v>-1108</v>
      </c>
      <c r="I60" s="79">
        <v>-1108</v>
      </c>
      <c r="J60" s="79">
        <v>-1108</v>
      </c>
      <c r="K60" s="79">
        <v>-1108</v>
      </c>
      <c r="L60" s="79">
        <v>-1108</v>
      </c>
      <c r="M60" s="79">
        <v>-1108</v>
      </c>
      <c r="N60" s="79">
        <v>-1108</v>
      </c>
      <c r="O60" s="79">
        <v>-970.95</v>
      </c>
      <c r="P60" s="79">
        <v>-137.05000000000001</v>
      </c>
    </row>
    <row r="61" spans="2:16" x14ac:dyDescent="0.25">
      <c r="B61" s="84" t="s">
        <v>104</v>
      </c>
      <c r="C61" s="79">
        <v>-3049.54</v>
      </c>
      <c r="D61" s="79">
        <v>-3759.31</v>
      </c>
      <c r="E61" s="79">
        <v>-3759.31</v>
      </c>
      <c r="F61" s="79">
        <v>-3759.31</v>
      </c>
      <c r="G61" s="79">
        <v>-3759.31</v>
      </c>
      <c r="H61" s="79">
        <v>-3759.31</v>
      </c>
      <c r="I61" s="79">
        <v>-3759.31</v>
      </c>
      <c r="J61" s="79">
        <v>-3759.31</v>
      </c>
      <c r="K61" s="79">
        <v>-3759.31</v>
      </c>
      <c r="L61" s="79">
        <v>-3759.31</v>
      </c>
      <c r="M61" s="79">
        <v>-3759.31</v>
      </c>
      <c r="N61" s="79">
        <v>-3759.31</v>
      </c>
      <c r="O61" s="79">
        <v>-3103.54</v>
      </c>
      <c r="P61" s="79">
        <v>-749.77</v>
      </c>
    </row>
    <row r="62" spans="2:16" x14ac:dyDescent="0.25">
      <c r="B62" s="84" t="s">
        <v>131</v>
      </c>
      <c r="C62" s="79">
        <v>-45857.39</v>
      </c>
      <c r="D62" s="79">
        <v>-45857.39</v>
      </c>
      <c r="E62" s="79">
        <v>-45857.39</v>
      </c>
      <c r="F62" s="79">
        <v>-45857.39</v>
      </c>
      <c r="G62" s="79">
        <v>-45857.39</v>
      </c>
      <c r="H62" s="79">
        <v>-45857.39</v>
      </c>
      <c r="I62" s="79">
        <v>-45857.39</v>
      </c>
      <c r="J62" s="79">
        <v>-45857.39</v>
      </c>
      <c r="K62" s="79">
        <v>-45857.39</v>
      </c>
      <c r="L62" s="79">
        <v>-45857.39</v>
      </c>
      <c r="M62" s="79">
        <v>-45857.39</v>
      </c>
      <c r="N62" s="79">
        <v>-45857.39</v>
      </c>
      <c r="O62" s="79">
        <v>-45857.39</v>
      </c>
    </row>
    <row r="63" spans="2:16" x14ac:dyDescent="0.25">
      <c r="B63" s="84" t="s">
        <v>233</v>
      </c>
    </row>
    <row r="64" spans="2:16" x14ac:dyDescent="0.25">
      <c r="B64" s="84" t="s">
        <v>103</v>
      </c>
      <c r="C64" s="79">
        <v>-773.39</v>
      </c>
      <c r="D64" s="79">
        <v>-1146.98</v>
      </c>
      <c r="E64" s="79">
        <v>-1146.98</v>
      </c>
      <c r="F64" s="79">
        <v>-1146.98</v>
      </c>
      <c r="G64" s="79">
        <v>-1146.98</v>
      </c>
      <c r="H64" s="79">
        <v>-1146.98</v>
      </c>
      <c r="I64" s="79">
        <v>-1146.98</v>
      </c>
      <c r="J64" s="79">
        <v>-1146.98</v>
      </c>
      <c r="K64" s="79">
        <v>-1146.98</v>
      </c>
      <c r="L64" s="79">
        <v>-1146.98</v>
      </c>
      <c r="M64" s="79">
        <v>-1146.98</v>
      </c>
      <c r="N64" s="79">
        <v>-1146.98</v>
      </c>
      <c r="O64" s="79">
        <v>-773.39</v>
      </c>
      <c r="P64" s="79">
        <v>-373.59</v>
      </c>
    </row>
    <row r="65" spans="2:16" x14ac:dyDescent="0.25">
      <c r="B65" s="84" t="s">
        <v>102</v>
      </c>
      <c r="C65" s="79">
        <v>-1942.45</v>
      </c>
      <c r="D65" s="79">
        <v>-2472.21</v>
      </c>
      <c r="E65" s="79">
        <v>-2472.21</v>
      </c>
      <c r="F65" s="79">
        <v>-2472.21</v>
      </c>
      <c r="G65" s="79">
        <v>-2472.21</v>
      </c>
      <c r="H65" s="79">
        <v>-2472.21</v>
      </c>
      <c r="I65" s="79">
        <v>-2472.21</v>
      </c>
      <c r="J65" s="79">
        <v>-2472.21</v>
      </c>
      <c r="K65" s="79">
        <v>-2472.21</v>
      </c>
      <c r="L65" s="79">
        <v>-2472.21</v>
      </c>
      <c r="M65" s="79">
        <v>-2472.21</v>
      </c>
      <c r="N65" s="79">
        <v>-2472.21</v>
      </c>
      <c r="O65" s="79">
        <v>-1942.45</v>
      </c>
      <c r="P65" s="79">
        <v>-529.76</v>
      </c>
    </row>
    <row r="66" spans="2:16" x14ac:dyDescent="0.25">
      <c r="B66" s="84" t="s">
        <v>130</v>
      </c>
      <c r="D66" s="79">
        <v>-3.16</v>
      </c>
      <c r="E66" s="79">
        <v>-3.16</v>
      </c>
      <c r="F66" s="79">
        <v>-3.16</v>
      </c>
      <c r="G66" s="79">
        <v>-3.16</v>
      </c>
      <c r="H66" s="79">
        <v>-3.16</v>
      </c>
      <c r="I66" s="79">
        <v>-3.16</v>
      </c>
      <c r="J66" s="79">
        <v>-3.16</v>
      </c>
      <c r="K66" s="79">
        <v>-3.16</v>
      </c>
      <c r="L66" s="79">
        <v>-3.16</v>
      </c>
      <c r="M66" s="79">
        <v>-3.16</v>
      </c>
      <c r="N66" s="79">
        <v>-3.16</v>
      </c>
      <c r="P66" s="79">
        <v>-3.16</v>
      </c>
    </row>
    <row r="67" spans="2:16" x14ac:dyDescent="0.25">
      <c r="B67" s="84" t="s">
        <v>101</v>
      </c>
      <c r="C67" s="79">
        <v>-8602.24</v>
      </c>
      <c r="D67" s="79">
        <v>-12807.96</v>
      </c>
      <c r="E67" s="79">
        <v>-12807.96</v>
      </c>
      <c r="F67" s="79">
        <v>-12807.96</v>
      </c>
      <c r="G67" s="79">
        <v>-12807.96</v>
      </c>
      <c r="H67" s="79">
        <v>-12807.96</v>
      </c>
      <c r="I67" s="79">
        <v>-12807.96</v>
      </c>
      <c r="J67" s="79">
        <v>-12807.96</v>
      </c>
      <c r="K67" s="79">
        <v>-12807.96</v>
      </c>
      <c r="L67" s="79">
        <v>-12807.96</v>
      </c>
      <c r="M67" s="79">
        <v>-12807.96</v>
      </c>
      <c r="N67" s="79">
        <v>-12807.96</v>
      </c>
      <c r="O67" s="79">
        <v>-8602.24</v>
      </c>
      <c r="P67" s="79">
        <v>-4205.72</v>
      </c>
    </row>
    <row r="68" spans="2:16" x14ac:dyDescent="0.25">
      <c r="B68" s="84" t="s">
        <v>287</v>
      </c>
    </row>
    <row r="69" spans="2:16" x14ac:dyDescent="0.25">
      <c r="B69" s="84" t="s">
        <v>288</v>
      </c>
    </row>
    <row r="70" spans="2:16" x14ac:dyDescent="0.25">
      <c r="B70" s="84" t="s">
        <v>234</v>
      </c>
      <c r="C70" s="79">
        <v>-750</v>
      </c>
      <c r="D70" s="79">
        <v>-750</v>
      </c>
      <c r="E70" s="79">
        <v>-750</v>
      </c>
      <c r="F70" s="79">
        <v>-750</v>
      </c>
      <c r="G70" s="79">
        <v>-750</v>
      </c>
      <c r="H70" s="79">
        <v>-750</v>
      </c>
      <c r="I70" s="79">
        <v>-750</v>
      </c>
      <c r="J70" s="79">
        <v>-750</v>
      </c>
      <c r="K70" s="79">
        <v>-750</v>
      </c>
      <c r="L70" s="79">
        <v>-750</v>
      </c>
      <c r="M70" s="79">
        <v>-750</v>
      </c>
      <c r="N70" s="79">
        <v>-750</v>
      </c>
      <c r="O70" s="79">
        <v>-750</v>
      </c>
    </row>
    <row r="71" spans="2:16" x14ac:dyDescent="0.25">
      <c r="B71" s="84" t="s">
        <v>129</v>
      </c>
      <c r="C71" s="79">
        <v>-1659.92</v>
      </c>
      <c r="D71" s="79">
        <v>-1659.92</v>
      </c>
      <c r="E71" s="79">
        <v>-1659.92</v>
      </c>
      <c r="F71" s="79">
        <v>-1659.92</v>
      </c>
      <c r="G71" s="79">
        <v>-1659.92</v>
      </c>
      <c r="H71" s="79">
        <v>-1659.92</v>
      </c>
      <c r="I71" s="79">
        <v>-1659.92</v>
      </c>
      <c r="J71" s="79">
        <v>-1659.92</v>
      </c>
      <c r="K71" s="79">
        <v>-1659.92</v>
      </c>
      <c r="L71" s="79">
        <v>-1659.92</v>
      </c>
      <c r="M71" s="79">
        <v>-1659.92</v>
      </c>
      <c r="N71" s="79">
        <v>-1659.92</v>
      </c>
      <c r="O71" s="79">
        <v>-1659.92</v>
      </c>
    </row>
    <row r="72" spans="2:16" x14ac:dyDescent="0.25">
      <c r="B72" s="84" t="s">
        <v>164</v>
      </c>
    </row>
    <row r="73" spans="2:16" x14ac:dyDescent="0.25">
      <c r="B73" s="84" t="s">
        <v>100</v>
      </c>
      <c r="C73" s="79">
        <v>-1018.07</v>
      </c>
      <c r="D73" s="79">
        <v>-1117.67</v>
      </c>
      <c r="E73" s="79">
        <v>-1117.67</v>
      </c>
      <c r="F73" s="79">
        <v>-1117.67</v>
      </c>
      <c r="G73" s="79">
        <v>-1117.67</v>
      </c>
      <c r="H73" s="79">
        <v>-1117.67</v>
      </c>
      <c r="I73" s="79">
        <v>-1117.67</v>
      </c>
      <c r="J73" s="79">
        <v>-1117.67</v>
      </c>
      <c r="K73" s="79">
        <v>-1117.67</v>
      </c>
      <c r="L73" s="79">
        <v>-1117.67</v>
      </c>
      <c r="M73" s="79">
        <v>-1117.67</v>
      </c>
      <c r="N73" s="79">
        <v>-1117.67</v>
      </c>
      <c r="O73" s="79">
        <v>-1018.07</v>
      </c>
      <c r="P73" s="79">
        <v>-99.6</v>
      </c>
    </row>
    <row r="74" spans="2:16" x14ac:dyDescent="0.25">
      <c r="B74" s="84" t="s">
        <v>128</v>
      </c>
    </row>
    <row r="75" spans="2:16" x14ac:dyDescent="0.25">
      <c r="B75" s="84" t="s">
        <v>127</v>
      </c>
      <c r="C75" s="79">
        <v>-920</v>
      </c>
      <c r="D75" s="79">
        <v>-920</v>
      </c>
      <c r="E75" s="79">
        <v>-920</v>
      </c>
      <c r="F75" s="79">
        <v>-920</v>
      </c>
      <c r="G75" s="79">
        <v>-920</v>
      </c>
      <c r="H75" s="79">
        <v>-920</v>
      </c>
      <c r="I75" s="79">
        <v>-920</v>
      </c>
      <c r="J75" s="79">
        <v>-920</v>
      </c>
      <c r="K75" s="79">
        <v>-920</v>
      </c>
      <c r="L75" s="79">
        <v>-920</v>
      </c>
      <c r="M75" s="79">
        <v>-920</v>
      </c>
      <c r="N75" s="79">
        <v>-920</v>
      </c>
      <c r="O75" s="79">
        <v>-920</v>
      </c>
    </row>
    <row r="76" spans="2:16" x14ac:dyDescent="0.25">
      <c r="B76" s="84" t="s">
        <v>126</v>
      </c>
      <c r="C76" s="79">
        <v>-7500</v>
      </c>
      <c r="D76" s="79">
        <v>-7500</v>
      </c>
      <c r="E76" s="79">
        <v>-7500</v>
      </c>
      <c r="F76" s="79">
        <v>-7500</v>
      </c>
      <c r="G76" s="79">
        <v>-7500</v>
      </c>
      <c r="H76" s="79">
        <v>-7500</v>
      </c>
      <c r="I76" s="79">
        <v>-7500</v>
      </c>
      <c r="J76" s="79">
        <v>-7500</v>
      </c>
      <c r="K76" s="79">
        <v>-7500</v>
      </c>
      <c r="L76" s="79">
        <v>-7500</v>
      </c>
      <c r="M76" s="79">
        <v>-7500</v>
      </c>
      <c r="N76" s="79">
        <v>-7500</v>
      </c>
      <c r="O76" s="79">
        <v>-7500</v>
      </c>
    </row>
    <row r="77" spans="2:16" x14ac:dyDescent="0.25">
      <c r="B77" s="84" t="s">
        <v>99</v>
      </c>
      <c r="C77" s="79">
        <v>-1329.21</v>
      </c>
      <c r="D77" s="79">
        <v>-1329.21</v>
      </c>
      <c r="E77" s="79">
        <v>-1329.21</v>
      </c>
      <c r="F77" s="79">
        <v>-1329.21</v>
      </c>
      <c r="G77" s="79">
        <v>-1329.21</v>
      </c>
      <c r="H77" s="79">
        <v>-1329.21</v>
      </c>
      <c r="I77" s="79">
        <v>-1329.21</v>
      </c>
      <c r="J77" s="79">
        <v>-1329.21</v>
      </c>
      <c r="K77" s="79">
        <v>-1329.21</v>
      </c>
      <c r="L77" s="79">
        <v>-1329.21</v>
      </c>
      <c r="M77" s="79">
        <v>-1329.21</v>
      </c>
      <c r="N77" s="79">
        <v>-1329.21</v>
      </c>
      <c r="O77" s="79">
        <v>-1329.21</v>
      </c>
    </row>
    <row r="78" spans="2:16" x14ac:dyDescent="0.25">
      <c r="B78" s="84" t="s">
        <v>322</v>
      </c>
      <c r="C78" s="79">
        <v>-224</v>
      </c>
      <c r="D78" s="79">
        <v>-224</v>
      </c>
      <c r="E78" s="79">
        <v>-224</v>
      </c>
      <c r="F78" s="79">
        <v>-224</v>
      </c>
      <c r="G78" s="79">
        <v>-224</v>
      </c>
      <c r="H78" s="79">
        <v>-224</v>
      </c>
      <c r="I78" s="79">
        <v>-224</v>
      </c>
      <c r="J78" s="79">
        <v>-224</v>
      </c>
      <c r="K78" s="79">
        <v>-224</v>
      </c>
      <c r="L78" s="79">
        <v>-224</v>
      </c>
      <c r="M78" s="79">
        <v>-224</v>
      </c>
      <c r="N78" s="79">
        <v>-224</v>
      </c>
      <c r="O78" s="79">
        <v>-224</v>
      </c>
    </row>
    <row r="79" spans="2:16" x14ac:dyDescent="0.25">
      <c r="B79" s="84" t="s">
        <v>323</v>
      </c>
    </row>
    <row r="80" spans="2:16" x14ac:dyDescent="0.25">
      <c r="B80" s="84" t="s">
        <v>207</v>
      </c>
    </row>
    <row r="81" spans="2:16" x14ac:dyDescent="0.25">
      <c r="B81" s="84" t="s">
        <v>125</v>
      </c>
    </row>
    <row r="82" spans="2:16" x14ac:dyDescent="0.25">
      <c r="B82" s="84" t="s">
        <v>165</v>
      </c>
    </row>
    <row r="83" spans="2:16" x14ac:dyDescent="0.25">
      <c r="B83" s="84" t="s">
        <v>124</v>
      </c>
      <c r="C83" s="79">
        <v>-300</v>
      </c>
      <c r="D83" s="79">
        <v>-300</v>
      </c>
      <c r="E83" s="79">
        <v>-300</v>
      </c>
      <c r="F83" s="79">
        <v>-300</v>
      </c>
      <c r="G83" s="79">
        <v>-300</v>
      </c>
      <c r="H83" s="79">
        <v>-300</v>
      </c>
      <c r="I83" s="79">
        <v>-300</v>
      </c>
      <c r="J83" s="79">
        <v>-300</v>
      </c>
      <c r="K83" s="79">
        <v>-300</v>
      </c>
      <c r="L83" s="79">
        <v>-300</v>
      </c>
      <c r="M83" s="79">
        <v>-300</v>
      </c>
      <c r="N83" s="79">
        <v>-300</v>
      </c>
      <c r="O83" s="79">
        <v>-300</v>
      </c>
    </row>
    <row r="84" spans="2:16" x14ac:dyDescent="0.25">
      <c r="B84" s="84" t="s">
        <v>289</v>
      </c>
    </row>
    <row r="85" spans="2:16" x14ac:dyDescent="0.25">
      <c r="B85" s="84" t="s">
        <v>98</v>
      </c>
      <c r="C85" s="79">
        <v>-105.65</v>
      </c>
      <c r="D85" s="79">
        <v>-176.84</v>
      </c>
      <c r="E85" s="79">
        <v>-176.84</v>
      </c>
      <c r="F85" s="79">
        <v>-176.84</v>
      </c>
      <c r="G85" s="79">
        <v>-176.84</v>
      </c>
      <c r="H85" s="79">
        <v>-176.84</v>
      </c>
      <c r="I85" s="79">
        <v>-176.84</v>
      </c>
      <c r="J85" s="79">
        <v>-176.84</v>
      </c>
      <c r="K85" s="79">
        <v>-176.84</v>
      </c>
      <c r="L85" s="79">
        <v>-176.84</v>
      </c>
      <c r="M85" s="79">
        <v>-176.84</v>
      </c>
      <c r="N85" s="79">
        <v>-176.84</v>
      </c>
      <c r="O85" s="79">
        <v>-135.58000000000001</v>
      </c>
      <c r="P85" s="79">
        <v>-101.7</v>
      </c>
    </row>
    <row r="86" spans="2:16" x14ac:dyDescent="0.25">
      <c r="B86" s="84" t="s">
        <v>123</v>
      </c>
      <c r="C86" s="79">
        <v>-250</v>
      </c>
      <c r="D86" s="79">
        <v>-250</v>
      </c>
      <c r="E86" s="79">
        <v>-250</v>
      </c>
      <c r="F86" s="79">
        <v>-250</v>
      </c>
      <c r="G86" s="79">
        <v>-250</v>
      </c>
      <c r="H86" s="79">
        <v>-250</v>
      </c>
      <c r="I86" s="79">
        <v>-250</v>
      </c>
      <c r="J86" s="79">
        <v>-250</v>
      </c>
      <c r="K86" s="79">
        <v>-250</v>
      </c>
      <c r="L86" s="79">
        <v>-250</v>
      </c>
      <c r="M86" s="79">
        <v>-250</v>
      </c>
      <c r="N86" s="79">
        <v>-250</v>
      </c>
      <c r="O86" s="79">
        <v>-250</v>
      </c>
    </row>
    <row r="87" spans="2:16" x14ac:dyDescent="0.25">
      <c r="B87" s="84" t="s">
        <v>235</v>
      </c>
    </row>
    <row r="88" spans="2:16" x14ac:dyDescent="0.25">
      <c r="B88" s="84" t="s">
        <v>290</v>
      </c>
    </row>
    <row r="89" spans="2:16" x14ac:dyDescent="0.25">
      <c r="B89" s="84" t="s">
        <v>122</v>
      </c>
      <c r="C89" s="79">
        <v>-125</v>
      </c>
      <c r="D89" s="79">
        <v>-125</v>
      </c>
      <c r="E89" s="79">
        <v>-125</v>
      </c>
      <c r="F89" s="79">
        <v>-125</v>
      </c>
      <c r="G89" s="79">
        <v>-125</v>
      </c>
      <c r="H89" s="79">
        <v>-125</v>
      </c>
      <c r="I89" s="79">
        <v>-125</v>
      </c>
      <c r="J89" s="79">
        <v>-125</v>
      </c>
      <c r="K89" s="79">
        <v>-125</v>
      </c>
      <c r="L89" s="79">
        <v>-125</v>
      </c>
      <c r="M89" s="79">
        <v>-125</v>
      </c>
      <c r="N89" s="79">
        <v>-125</v>
      </c>
      <c r="O89" s="79">
        <v>-125</v>
      </c>
    </row>
    <row r="90" spans="2:16" x14ac:dyDescent="0.25">
      <c r="B90" s="84" t="s">
        <v>97</v>
      </c>
      <c r="C90" s="79">
        <v>-424.26</v>
      </c>
      <c r="D90" s="79">
        <v>-424.26</v>
      </c>
      <c r="E90" s="79">
        <v>-424.26</v>
      </c>
      <c r="F90" s="79">
        <v>-424.26</v>
      </c>
      <c r="G90" s="79">
        <v>-424.26</v>
      </c>
      <c r="H90" s="79">
        <v>-424.26</v>
      </c>
      <c r="I90" s="79">
        <v>-424.26</v>
      </c>
      <c r="J90" s="79">
        <v>-424.26</v>
      </c>
      <c r="K90" s="79">
        <v>-424.26</v>
      </c>
      <c r="L90" s="79">
        <v>-424.26</v>
      </c>
      <c r="M90" s="79">
        <v>-424.26</v>
      </c>
      <c r="N90" s="79">
        <v>-424.26</v>
      </c>
      <c r="O90" s="79">
        <v>-424.26</v>
      </c>
    </row>
    <row r="91" spans="2:16" x14ac:dyDescent="0.25">
      <c r="B91" s="84" t="s">
        <v>96</v>
      </c>
      <c r="C91" s="79">
        <v>-10241.5</v>
      </c>
      <c r="D91" s="79">
        <v>-10241.5</v>
      </c>
      <c r="E91" s="79">
        <v>-10241.5</v>
      </c>
      <c r="F91" s="79">
        <v>-10241.5</v>
      </c>
      <c r="G91" s="79">
        <v>-10241.5</v>
      </c>
      <c r="H91" s="79">
        <v>-10241.5</v>
      </c>
      <c r="I91" s="79">
        <v>-10241.5</v>
      </c>
      <c r="J91" s="79">
        <v>-10241.5</v>
      </c>
      <c r="K91" s="79">
        <v>-10241.5</v>
      </c>
      <c r="L91" s="79">
        <v>-10241.5</v>
      </c>
      <c r="M91" s="79">
        <v>-10241.5</v>
      </c>
      <c r="N91" s="79">
        <v>-10241.5</v>
      </c>
      <c r="O91" s="79">
        <v>-10924.74</v>
      </c>
    </row>
    <row r="92" spans="2:16" x14ac:dyDescent="0.25">
      <c r="B92" s="84" t="s">
        <v>95</v>
      </c>
      <c r="C92" s="79">
        <v>-114.99</v>
      </c>
      <c r="D92" s="79">
        <v>-114.99</v>
      </c>
      <c r="E92" s="79">
        <v>-114.99</v>
      </c>
      <c r="F92" s="79">
        <v>-114.99</v>
      </c>
      <c r="G92" s="79">
        <v>-114.99</v>
      </c>
      <c r="H92" s="79">
        <v>-114.99</v>
      </c>
      <c r="I92" s="79">
        <v>-114.99</v>
      </c>
      <c r="J92" s="79">
        <v>-114.99</v>
      </c>
      <c r="K92" s="79">
        <v>-114.99</v>
      </c>
      <c r="L92" s="79">
        <v>-114.99</v>
      </c>
      <c r="M92" s="79">
        <v>-114.99</v>
      </c>
      <c r="N92" s="79">
        <v>-114.99</v>
      </c>
      <c r="O92" s="79">
        <v>-114.99</v>
      </c>
    </row>
    <row r="93" spans="2:16" x14ac:dyDescent="0.25">
      <c r="B93" s="84" t="s">
        <v>121</v>
      </c>
      <c r="C93" s="79">
        <v>-2020</v>
      </c>
      <c r="D93" s="79">
        <v>-2020</v>
      </c>
      <c r="E93" s="79">
        <v>-2020</v>
      </c>
      <c r="F93" s="79">
        <v>-2020</v>
      </c>
      <c r="G93" s="79">
        <v>-2020</v>
      </c>
      <c r="H93" s="79">
        <v>-2020</v>
      </c>
      <c r="I93" s="79">
        <v>-2020</v>
      </c>
      <c r="J93" s="79">
        <v>-2020</v>
      </c>
      <c r="K93" s="79">
        <v>-2020</v>
      </c>
      <c r="L93" s="79">
        <v>-2020</v>
      </c>
      <c r="M93" s="79">
        <v>-2020</v>
      </c>
      <c r="N93" s="79">
        <v>-2020</v>
      </c>
      <c r="O93" s="79">
        <v>-2020</v>
      </c>
    </row>
    <row r="94" spans="2:16" x14ac:dyDescent="0.25">
      <c r="B94" s="84" t="s">
        <v>94</v>
      </c>
      <c r="D94" s="79">
        <v>-80.2</v>
      </c>
      <c r="E94" s="79">
        <v>-80.2</v>
      </c>
      <c r="F94" s="79">
        <v>-80.2</v>
      </c>
      <c r="G94" s="79">
        <v>-80.2</v>
      </c>
      <c r="H94" s="79">
        <v>-80.2</v>
      </c>
      <c r="I94" s="79">
        <v>-80.2</v>
      </c>
      <c r="J94" s="79">
        <v>-80.2</v>
      </c>
      <c r="K94" s="79">
        <v>-80.2</v>
      </c>
      <c r="L94" s="79">
        <v>-80.2</v>
      </c>
      <c r="M94" s="79">
        <v>-80.2</v>
      </c>
      <c r="N94" s="79">
        <v>-80.2</v>
      </c>
      <c r="P94" s="79">
        <v>-80.2</v>
      </c>
    </row>
    <row r="95" spans="2:16" x14ac:dyDescent="0.25">
      <c r="B95" s="84" t="s">
        <v>93</v>
      </c>
      <c r="C95" s="79">
        <v>-8781.69</v>
      </c>
      <c r="D95" s="79">
        <v>-8781.69</v>
      </c>
      <c r="E95" s="79">
        <v>-8781.69</v>
      </c>
      <c r="F95" s="79">
        <v>-8781.69</v>
      </c>
      <c r="G95" s="79">
        <v>-8781.69</v>
      </c>
      <c r="H95" s="79">
        <v>-8781.69</v>
      </c>
      <c r="I95" s="79">
        <v>-8781.69</v>
      </c>
      <c r="J95" s="79">
        <v>-8781.69</v>
      </c>
      <c r="K95" s="79">
        <v>-8781.69</v>
      </c>
      <c r="L95" s="79">
        <v>-8781.69</v>
      </c>
      <c r="M95" s="79">
        <v>-8781.69</v>
      </c>
      <c r="N95" s="79">
        <v>-8781.69</v>
      </c>
      <c r="O95" s="79">
        <v>-8781.69</v>
      </c>
    </row>
    <row r="96" spans="2:16" x14ac:dyDescent="0.25">
      <c r="B96" s="84" t="s">
        <v>92</v>
      </c>
      <c r="C96" s="79">
        <v>-3300</v>
      </c>
      <c r="D96" s="79">
        <v>-3300</v>
      </c>
      <c r="E96" s="79">
        <v>-3300</v>
      </c>
      <c r="F96" s="79">
        <v>-3300</v>
      </c>
      <c r="G96" s="79">
        <v>-3300</v>
      </c>
      <c r="H96" s="79">
        <v>-3300</v>
      </c>
      <c r="I96" s="79">
        <v>-3300</v>
      </c>
      <c r="J96" s="79">
        <v>-3300</v>
      </c>
      <c r="K96" s="79">
        <v>-3300</v>
      </c>
      <c r="L96" s="79">
        <v>-3300</v>
      </c>
      <c r="M96" s="79">
        <v>-3300</v>
      </c>
      <c r="N96" s="79">
        <v>-3300</v>
      </c>
      <c r="O96" s="79">
        <v>-3300</v>
      </c>
    </row>
    <row r="97" spans="2:16" x14ac:dyDescent="0.25">
      <c r="B97" s="84" t="s">
        <v>91</v>
      </c>
      <c r="C97" s="79">
        <v>-294.23</v>
      </c>
      <c r="D97" s="79">
        <v>-294.23</v>
      </c>
      <c r="E97" s="79">
        <v>-294.23</v>
      </c>
      <c r="F97" s="79">
        <v>-294.23</v>
      </c>
      <c r="G97" s="79">
        <v>-294.23</v>
      </c>
      <c r="H97" s="79">
        <v>-294.23</v>
      </c>
      <c r="I97" s="79">
        <v>-294.23</v>
      </c>
      <c r="J97" s="79">
        <v>-294.23</v>
      </c>
      <c r="K97" s="79">
        <v>-294.23</v>
      </c>
      <c r="L97" s="79">
        <v>-294.23</v>
      </c>
      <c r="M97" s="79">
        <v>-294.23</v>
      </c>
      <c r="N97" s="79">
        <v>-294.23</v>
      </c>
      <c r="O97" s="79">
        <v>-294.23</v>
      </c>
    </row>
    <row r="98" spans="2:16" x14ac:dyDescent="0.25">
      <c r="B98" s="84" t="s">
        <v>90</v>
      </c>
      <c r="C98" s="79">
        <v>-700</v>
      </c>
      <c r="D98" s="79">
        <v>-700</v>
      </c>
      <c r="E98" s="79">
        <v>-700</v>
      </c>
      <c r="F98" s="79">
        <v>-700</v>
      </c>
      <c r="G98" s="79">
        <v>-700</v>
      </c>
      <c r="H98" s="79">
        <v>-700</v>
      </c>
      <c r="I98" s="79">
        <v>-700</v>
      </c>
      <c r="J98" s="79">
        <v>-700</v>
      </c>
      <c r="K98" s="79">
        <v>-700</v>
      </c>
      <c r="L98" s="79">
        <v>-700</v>
      </c>
      <c r="M98" s="79">
        <v>-700</v>
      </c>
      <c r="N98" s="79">
        <v>-700</v>
      </c>
      <c r="O98" s="79">
        <v>-700</v>
      </c>
    </row>
    <row r="99" spans="2:16" x14ac:dyDescent="0.25">
      <c r="B99" s="84" t="s">
        <v>89</v>
      </c>
      <c r="C99" s="79">
        <v>-280.58</v>
      </c>
      <c r="D99" s="79">
        <v>-334.24</v>
      </c>
      <c r="E99" s="79">
        <v>-334.24</v>
      </c>
      <c r="F99" s="79">
        <v>-334.24</v>
      </c>
      <c r="G99" s="79">
        <v>-334.24</v>
      </c>
      <c r="H99" s="79">
        <v>-334.24</v>
      </c>
      <c r="I99" s="79">
        <v>-334.24</v>
      </c>
      <c r="J99" s="79">
        <v>-334.24</v>
      </c>
      <c r="K99" s="79">
        <v>-334.24</v>
      </c>
      <c r="L99" s="79">
        <v>-334.24</v>
      </c>
      <c r="M99" s="79">
        <v>-334.24</v>
      </c>
      <c r="N99" s="79">
        <v>-334.24</v>
      </c>
      <c r="O99" s="79">
        <v>-280.58</v>
      </c>
      <c r="P99" s="79">
        <v>-53.66</v>
      </c>
    </row>
    <row r="100" spans="2:16" x14ac:dyDescent="0.25">
      <c r="B100" s="84" t="s">
        <v>120</v>
      </c>
      <c r="C100" s="79">
        <v>-150</v>
      </c>
      <c r="D100" s="79">
        <v>-150</v>
      </c>
      <c r="E100" s="79">
        <v>-150</v>
      </c>
      <c r="F100" s="79">
        <v>-150</v>
      </c>
      <c r="G100" s="79">
        <v>-150</v>
      </c>
      <c r="H100" s="79">
        <v>-150</v>
      </c>
      <c r="I100" s="79">
        <v>-150</v>
      </c>
      <c r="J100" s="79">
        <v>-150</v>
      </c>
      <c r="K100" s="79">
        <v>-150</v>
      </c>
      <c r="L100" s="79">
        <v>-150</v>
      </c>
      <c r="M100" s="79">
        <v>-150</v>
      </c>
      <c r="N100" s="79">
        <v>-150</v>
      </c>
      <c r="O100" s="79">
        <v>-150</v>
      </c>
    </row>
    <row r="101" spans="2:16" x14ac:dyDescent="0.25">
      <c r="B101" s="84" t="s">
        <v>88</v>
      </c>
      <c r="C101" s="79">
        <v>-48.35</v>
      </c>
      <c r="D101" s="79">
        <v>-48.35</v>
      </c>
      <c r="E101" s="79">
        <v>-48.35</v>
      </c>
      <c r="F101" s="79">
        <v>-48.35</v>
      </c>
      <c r="G101" s="79">
        <v>-48.35</v>
      </c>
      <c r="H101" s="79">
        <v>-48.35</v>
      </c>
      <c r="I101" s="79">
        <v>-48.35</v>
      </c>
      <c r="J101" s="79">
        <v>-48.35</v>
      </c>
      <c r="K101" s="79">
        <v>-48.35</v>
      </c>
      <c r="L101" s="79">
        <v>-48.35</v>
      </c>
      <c r="M101" s="79">
        <v>-48.35</v>
      </c>
      <c r="N101" s="79">
        <v>-48.35</v>
      </c>
      <c r="O101" s="79">
        <v>-48.35</v>
      </c>
    </row>
    <row r="102" spans="2:16" x14ac:dyDescent="0.25">
      <c r="B102" s="84" t="s">
        <v>87</v>
      </c>
      <c r="C102" s="79">
        <v>-173.91</v>
      </c>
      <c r="D102" s="79">
        <v>-473.91</v>
      </c>
      <c r="E102" s="79">
        <v>-473.91</v>
      </c>
      <c r="F102" s="79">
        <v>-473.91</v>
      </c>
      <c r="G102" s="79">
        <v>-473.91</v>
      </c>
      <c r="H102" s="79">
        <v>-473.91</v>
      </c>
      <c r="I102" s="79">
        <v>-473.91</v>
      </c>
      <c r="J102" s="79">
        <v>-473.91</v>
      </c>
      <c r="K102" s="79">
        <v>-473.91</v>
      </c>
      <c r="L102" s="79">
        <v>-473.91</v>
      </c>
      <c r="M102" s="79">
        <v>-473.91</v>
      </c>
      <c r="N102" s="79">
        <v>-473.91</v>
      </c>
      <c r="O102" s="79">
        <v>-173.91</v>
      </c>
      <c r="P102" s="79">
        <v>-300</v>
      </c>
    </row>
    <row r="103" spans="2:16" x14ac:dyDescent="0.25">
      <c r="B103" s="84" t="s">
        <v>236</v>
      </c>
    </row>
    <row r="104" spans="2:16" x14ac:dyDescent="0.25">
      <c r="B104" s="84" t="s">
        <v>86</v>
      </c>
    </row>
    <row r="105" spans="2:16" x14ac:dyDescent="0.25">
      <c r="B105" s="84"/>
    </row>
  </sheetData>
  <conditionalFormatting sqref="C6:AD6">
    <cfRule type="cellIs" dxfId="194" priority="1" operator="notBetween">
      <formula>-0.005</formula>
      <formula>0.005</formula>
    </cfRule>
    <cfRule type="cellIs" dxfId="193" priority="2" operator="between">
      <formula>-0.005</formula>
      <formula>0.005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7" tint="0.59999389629810485"/>
  </sheetPr>
  <dimension ref="B1:P105"/>
  <sheetViews>
    <sheetView topLeftCell="B5" workbookViewId="0">
      <pane xSplit="1" ySplit="5" topLeftCell="C10" activePane="bottomRight" state="frozen"/>
      <selection activeCell="B5" sqref="B5"/>
      <selection pane="topRight" activeCell="C5" sqref="C5"/>
      <selection pane="bottomLeft" activeCell="B10" sqref="B10"/>
      <selection pane="bottomRight" activeCell="F1" sqref="F1"/>
    </sheetView>
  </sheetViews>
  <sheetFormatPr defaultRowHeight="15" x14ac:dyDescent="0.25"/>
  <cols>
    <col min="1" max="1" width="9.140625" style="79"/>
    <col min="2" max="2" width="11.7109375" style="79" customWidth="1"/>
    <col min="3" max="5" width="12.7109375" style="79" customWidth="1"/>
    <col min="6" max="10" width="9.140625" style="79"/>
    <col min="11" max="11" width="10.140625" style="79" bestFit="1" customWidth="1"/>
    <col min="12" max="14" width="9.140625" style="79"/>
    <col min="15" max="16" width="11.7109375" style="79" bestFit="1" customWidth="1"/>
    <col min="17" max="16384" width="9.140625" style="79"/>
  </cols>
  <sheetData>
    <row r="1" spans="2:14" ht="18.75" x14ac:dyDescent="0.3">
      <c r="B1" s="56" t="s">
        <v>139</v>
      </c>
    </row>
    <row r="2" spans="2:14" ht="18.75" x14ac:dyDescent="0.3">
      <c r="B2" s="56" t="s">
        <v>140</v>
      </c>
    </row>
    <row r="3" spans="2:14" ht="18.75" x14ac:dyDescent="0.3">
      <c r="B3" s="56"/>
    </row>
    <row r="4" spans="2:14" ht="18.75" x14ac:dyDescent="0.3">
      <c r="B4" s="56"/>
    </row>
    <row r="5" spans="2:14" x14ac:dyDescent="0.25">
      <c r="B5" s="79">
        <v>1</v>
      </c>
      <c r="D5" s="79" t="s">
        <v>401</v>
      </c>
    </row>
    <row r="6" spans="2:14" x14ac:dyDescent="0.25">
      <c r="C6" s="60">
        <f>SUM(C10:C105)</f>
        <v>2.3208102106764272E-10</v>
      </c>
      <c r="D6" s="60">
        <f t="shared" ref="D6:N6" si="0">SUM(D10:D105)</f>
        <v>0</v>
      </c>
      <c r="E6" s="60">
        <f t="shared" si="0"/>
        <v>-43178.000000000109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 t="shared" si="0"/>
        <v>0</v>
      </c>
      <c r="J6" s="60">
        <f t="shared" si="0"/>
        <v>0</v>
      </c>
      <c r="K6" s="60">
        <f t="shared" si="0"/>
        <v>0</v>
      </c>
      <c r="L6" s="60">
        <f t="shared" si="0"/>
        <v>0</v>
      </c>
      <c r="M6" s="60">
        <f t="shared" si="0"/>
        <v>0</v>
      </c>
      <c r="N6" s="60">
        <f t="shared" si="0"/>
        <v>0</v>
      </c>
    </row>
    <row r="7" spans="2:14" x14ac:dyDescent="0.25">
      <c r="B7" s="84">
        <v>1</v>
      </c>
      <c r="C7" s="79" t="s">
        <v>1</v>
      </c>
      <c r="D7" s="79" t="s">
        <v>367</v>
      </c>
      <c r="E7" s="79" t="s">
        <v>383</v>
      </c>
      <c r="F7" s="79" t="s">
        <v>1</v>
      </c>
    </row>
    <row r="8" spans="2:14" x14ac:dyDescent="0.25">
      <c r="B8" s="84">
        <v>2</v>
      </c>
      <c r="C8" s="103">
        <v>42005</v>
      </c>
      <c r="D8" s="103">
        <v>41640</v>
      </c>
      <c r="E8" s="103">
        <v>41640</v>
      </c>
      <c r="F8" s="103">
        <v>42370</v>
      </c>
    </row>
    <row r="9" spans="2:14" x14ac:dyDescent="0.25">
      <c r="B9" s="84">
        <v>3</v>
      </c>
      <c r="C9" s="79" t="s">
        <v>420</v>
      </c>
      <c r="D9" s="79" t="s">
        <v>374</v>
      </c>
      <c r="E9" s="79" t="s">
        <v>384</v>
      </c>
      <c r="F9" s="79" t="s">
        <v>494</v>
      </c>
    </row>
    <row r="10" spans="2:14" x14ac:dyDescent="0.25">
      <c r="B10" s="84" t="s">
        <v>368</v>
      </c>
      <c r="C10" s="100">
        <v>-99500.83</v>
      </c>
      <c r="D10" s="100">
        <v>-99500.83</v>
      </c>
      <c r="E10" s="100">
        <v>-99500.83</v>
      </c>
      <c r="F10" s="100"/>
    </row>
    <row r="11" spans="2:14" x14ac:dyDescent="0.25">
      <c r="B11" s="84" t="s">
        <v>218</v>
      </c>
      <c r="C11" s="100">
        <v>99430.83</v>
      </c>
      <c r="D11" s="100">
        <v>99430.83</v>
      </c>
      <c r="E11" s="100">
        <v>99430.83</v>
      </c>
      <c r="F11" s="100"/>
    </row>
    <row r="12" spans="2:14" x14ac:dyDescent="0.25">
      <c r="B12" s="84" t="s">
        <v>219</v>
      </c>
      <c r="C12" s="100">
        <v>-82238.2</v>
      </c>
      <c r="D12" s="100">
        <v>-78215</v>
      </c>
      <c r="E12" s="100">
        <v>-78215</v>
      </c>
      <c r="F12" s="100"/>
    </row>
    <row r="13" spans="2:14" x14ac:dyDescent="0.25">
      <c r="B13" s="84" t="s">
        <v>220</v>
      </c>
      <c r="C13" s="100">
        <v>76699.199999999997</v>
      </c>
      <c r="D13" s="100">
        <v>74115</v>
      </c>
      <c r="E13" s="100">
        <v>74115</v>
      </c>
      <c r="F13" s="100"/>
    </row>
    <row r="14" spans="2:14" x14ac:dyDescent="0.25">
      <c r="B14" s="84">
        <v>40</v>
      </c>
      <c r="C14" s="100">
        <v>-35180.33</v>
      </c>
      <c r="D14" s="100">
        <v>-43181</v>
      </c>
      <c r="E14" s="100">
        <v>-43181</v>
      </c>
      <c r="F14" s="100"/>
    </row>
    <row r="15" spans="2:14" x14ac:dyDescent="0.25">
      <c r="B15" s="84" t="s">
        <v>222</v>
      </c>
      <c r="C15" s="100">
        <v>30863.329999999998</v>
      </c>
      <c r="D15" s="100">
        <v>43178</v>
      </c>
      <c r="E15" s="100" t="s">
        <v>416</v>
      </c>
      <c r="F15" s="100"/>
    </row>
    <row r="16" spans="2:14" x14ac:dyDescent="0.25">
      <c r="B16" s="84" t="s">
        <v>119</v>
      </c>
      <c r="C16" s="100">
        <v>-369083.38</v>
      </c>
      <c r="D16" s="100">
        <v>-226837.24</v>
      </c>
      <c r="E16" s="100">
        <v>-266242.18</v>
      </c>
      <c r="F16" s="100"/>
    </row>
    <row r="17" spans="2:6" x14ac:dyDescent="0.25">
      <c r="B17" s="84">
        <v>1004</v>
      </c>
      <c r="C17" s="100">
        <v>0</v>
      </c>
      <c r="D17" s="100"/>
      <c r="E17" s="100"/>
      <c r="F17" s="100"/>
    </row>
    <row r="18" spans="2:6" x14ac:dyDescent="0.25">
      <c r="B18" s="84" t="s">
        <v>118</v>
      </c>
      <c r="C18" s="100">
        <v>-299624.41000000003</v>
      </c>
      <c r="D18" s="100">
        <v>-473419.89</v>
      </c>
      <c r="E18" s="100">
        <v>-473419.89</v>
      </c>
      <c r="F18" s="100"/>
    </row>
    <row r="19" spans="2:6" x14ac:dyDescent="0.25">
      <c r="B19" s="84">
        <v>1101</v>
      </c>
      <c r="C19" s="100">
        <v>-3839.25</v>
      </c>
      <c r="D19" s="100">
        <v>-3839.25</v>
      </c>
      <c r="E19" s="100">
        <v>-3839.25</v>
      </c>
      <c r="F19" s="100"/>
    </row>
    <row r="20" spans="2:6" x14ac:dyDescent="0.25">
      <c r="B20" s="84" t="s">
        <v>282</v>
      </c>
      <c r="C20" s="100">
        <v>0</v>
      </c>
      <c r="D20" s="100"/>
      <c r="E20" s="100"/>
      <c r="F20" s="100"/>
    </row>
    <row r="21" spans="2:6" x14ac:dyDescent="0.25">
      <c r="B21" s="84" t="s">
        <v>319</v>
      </c>
      <c r="C21" s="100">
        <v>0</v>
      </c>
      <c r="D21" s="100"/>
      <c r="E21" s="100"/>
      <c r="F21" s="100"/>
    </row>
    <row r="22" spans="2:6" x14ac:dyDescent="0.25">
      <c r="B22" s="84">
        <v>1110</v>
      </c>
      <c r="C22" s="100">
        <v>-15315.670000000002</v>
      </c>
      <c r="D22" s="100">
        <v>-15315.67</v>
      </c>
      <c r="E22" s="100">
        <v>-15315.67</v>
      </c>
      <c r="F22" s="100"/>
    </row>
    <row r="23" spans="2:6" x14ac:dyDescent="0.25">
      <c r="B23" s="84" t="s">
        <v>223</v>
      </c>
      <c r="C23" s="100">
        <v>-31310.359999999997</v>
      </c>
      <c r="D23" s="100">
        <v>-29995.31</v>
      </c>
      <c r="E23" s="100">
        <v>-29995.31</v>
      </c>
      <c r="F23" s="100"/>
    </row>
    <row r="24" spans="2:6" x14ac:dyDescent="0.25">
      <c r="B24" s="84" t="s">
        <v>320</v>
      </c>
      <c r="C24" s="100">
        <v>-34229.360000000001</v>
      </c>
      <c r="D24" s="100">
        <v>-34229.360000000001</v>
      </c>
      <c r="E24" s="100">
        <v>-34229.360000000001</v>
      </c>
      <c r="F24" s="100"/>
    </row>
    <row r="25" spans="2:6" x14ac:dyDescent="0.25">
      <c r="B25" s="84" t="s">
        <v>117</v>
      </c>
      <c r="C25" s="100">
        <v>45590.25</v>
      </c>
      <c r="D25" s="100"/>
      <c r="E25" s="100"/>
      <c r="F25" s="100"/>
    </row>
    <row r="26" spans="2:6" x14ac:dyDescent="0.25">
      <c r="B26" s="84" t="s">
        <v>116</v>
      </c>
      <c r="C26" s="100">
        <v>-62751.020000000011</v>
      </c>
      <c r="D26" s="100">
        <v>-11817.53</v>
      </c>
      <c r="E26" s="100">
        <v>-11817.53</v>
      </c>
      <c r="F26" s="100"/>
    </row>
    <row r="27" spans="2:6" x14ac:dyDescent="0.25">
      <c r="B27" s="84" t="s">
        <v>144</v>
      </c>
      <c r="C27" s="100">
        <v>0</v>
      </c>
      <c r="D27" s="100"/>
      <c r="E27" s="100"/>
      <c r="F27" s="100"/>
    </row>
    <row r="28" spans="2:6" x14ac:dyDescent="0.25">
      <c r="B28" s="84" t="s">
        <v>224</v>
      </c>
      <c r="C28" s="100">
        <v>0</v>
      </c>
      <c r="D28" s="100"/>
      <c r="E28" s="100"/>
      <c r="F28" s="100"/>
    </row>
    <row r="29" spans="2:6" x14ac:dyDescent="0.25">
      <c r="B29" s="84" t="s">
        <v>225</v>
      </c>
      <c r="C29" s="100">
        <v>-52297.939999999995</v>
      </c>
      <c r="D29" s="100">
        <v>-14998.86</v>
      </c>
      <c r="E29" s="100">
        <v>-14998.86</v>
      </c>
      <c r="F29" s="100"/>
    </row>
    <row r="30" spans="2:6" x14ac:dyDescent="0.25">
      <c r="B30" s="84" t="s">
        <v>115</v>
      </c>
      <c r="C30" s="100">
        <v>0</v>
      </c>
      <c r="D30" s="100"/>
      <c r="E30" s="100"/>
      <c r="F30" s="100"/>
    </row>
    <row r="31" spans="2:6" x14ac:dyDescent="0.25">
      <c r="B31" s="84" t="s">
        <v>226</v>
      </c>
      <c r="C31" s="100">
        <v>0</v>
      </c>
      <c r="D31" s="100">
        <v>-3981.91</v>
      </c>
      <c r="E31" s="100">
        <v>-3981.91</v>
      </c>
      <c r="F31" s="100"/>
    </row>
    <row r="32" spans="2:6" x14ac:dyDescent="0.25">
      <c r="B32" s="84" t="s">
        <v>227</v>
      </c>
      <c r="C32" s="100">
        <v>-700</v>
      </c>
      <c r="D32" s="100">
        <v>-700</v>
      </c>
      <c r="E32" s="100">
        <v>-700</v>
      </c>
      <c r="F32" s="100"/>
    </row>
    <row r="33" spans="2:6" x14ac:dyDescent="0.25">
      <c r="B33" s="84" t="s">
        <v>228</v>
      </c>
      <c r="C33" s="100">
        <v>7.1054273576010019E-15</v>
      </c>
      <c r="D33" s="100"/>
      <c r="E33" s="100"/>
      <c r="F33" s="100"/>
    </row>
    <row r="34" spans="2:6" x14ac:dyDescent="0.25">
      <c r="B34" s="84" t="s">
        <v>158</v>
      </c>
      <c r="C34" s="100">
        <v>0</v>
      </c>
      <c r="D34" s="100"/>
      <c r="E34" s="100"/>
      <c r="F34" s="100"/>
    </row>
    <row r="35" spans="2:6" x14ac:dyDescent="0.25">
      <c r="B35" s="84" t="s">
        <v>132</v>
      </c>
      <c r="C35" s="100">
        <v>0</v>
      </c>
      <c r="D35" s="100"/>
      <c r="E35" s="100"/>
      <c r="F35" s="100"/>
    </row>
    <row r="36" spans="2:6" x14ac:dyDescent="0.25">
      <c r="B36" s="84" t="s">
        <v>159</v>
      </c>
      <c r="C36" s="100">
        <v>0</v>
      </c>
      <c r="D36" s="100"/>
      <c r="E36" s="100"/>
      <c r="F36" s="100"/>
    </row>
    <row r="37" spans="2:6" x14ac:dyDescent="0.25">
      <c r="B37" s="84" t="s">
        <v>160</v>
      </c>
      <c r="C37" s="100">
        <v>-293382.84999999998</v>
      </c>
      <c r="D37" s="100"/>
      <c r="E37" s="100"/>
      <c r="F37" s="100"/>
    </row>
    <row r="38" spans="2:6" x14ac:dyDescent="0.25">
      <c r="B38" s="84" t="s">
        <v>161</v>
      </c>
      <c r="C38" s="100">
        <v>296875</v>
      </c>
      <c r="D38" s="100"/>
      <c r="E38" s="100"/>
      <c r="F38" s="100"/>
    </row>
    <row r="39" spans="2:6" x14ac:dyDescent="0.25">
      <c r="B39" s="84" t="s">
        <v>162</v>
      </c>
      <c r="C39" s="100">
        <v>0</v>
      </c>
      <c r="D39" s="100"/>
      <c r="E39" s="100"/>
      <c r="F39" s="100"/>
    </row>
    <row r="40" spans="2:6" x14ac:dyDescent="0.25">
      <c r="B40" s="84" t="s">
        <v>163</v>
      </c>
      <c r="C40" s="100">
        <v>0</v>
      </c>
      <c r="D40" s="100"/>
      <c r="E40" s="100"/>
      <c r="F40" s="100"/>
    </row>
    <row r="41" spans="2:6" x14ac:dyDescent="0.25">
      <c r="B41" s="84" t="s">
        <v>321</v>
      </c>
      <c r="C41" s="100">
        <v>0</v>
      </c>
      <c r="D41" s="100"/>
      <c r="E41" s="100"/>
      <c r="F41" s="100"/>
    </row>
    <row r="42" spans="2:6" x14ac:dyDescent="0.25">
      <c r="B42" s="84" t="s">
        <v>114</v>
      </c>
      <c r="C42" s="100">
        <v>42709.890000000007</v>
      </c>
      <c r="D42" s="100">
        <v>20868.12</v>
      </c>
      <c r="E42" s="100">
        <v>20868.12</v>
      </c>
      <c r="F42" s="100"/>
    </row>
    <row r="43" spans="2:6" x14ac:dyDescent="0.25">
      <c r="B43" s="84" t="s">
        <v>229</v>
      </c>
      <c r="C43" s="100">
        <v>235301.85</v>
      </c>
      <c r="D43" s="100">
        <v>235607.49</v>
      </c>
      <c r="E43" s="100">
        <v>235607.45</v>
      </c>
      <c r="F43" s="100"/>
    </row>
    <row r="44" spans="2:6" x14ac:dyDescent="0.25">
      <c r="B44" s="84" t="s">
        <v>230</v>
      </c>
      <c r="C44" s="100">
        <v>-24214.329999999994</v>
      </c>
      <c r="D44" s="100">
        <v>-22841.33</v>
      </c>
      <c r="E44" s="100">
        <v>-22841.33</v>
      </c>
      <c r="F44" s="100"/>
    </row>
    <row r="45" spans="2:6" x14ac:dyDescent="0.25">
      <c r="B45" s="84" t="s">
        <v>283</v>
      </c>
      <c r="C45" s="100">
        <v>0</v>
      </c>
      <c r="D45" s="100"/>
      <c r="E45" s="100"/>
      <c r="F45" s="100"/>
    </row>
    <row r="46" spans="2:6" x14ac:dyDescent="0.25">
      <c r="B46" s="84" t="s">
        <v>284</v>
      </c>
      <c r="C46" s="100">
        <v>0</v>
      </c>
      <c r="D46" s="100"/>
      <c r="E46" s="100"/>
      <c r="F46" s="100"/>
    </row>
    <row r="47" spans="2:6" x14ac:dyDescent="0.25">
      <c r="B47" s="84" t="s">
        <v>113</v>
      </c>
      <c r="C47" s="100">
        <v>-15151.58</v>
      </c>
      <c r="D47" s="100">
        <f>25261.35-22437.03</f>
        <v>2824.3199999999997</v>
      </c>
      <c r="E47" s="100">
        <f>25261.35-22437.03</f>
        <v>2824.3199999999997</v>
      </c>
      <c r="F47" s="100"/>
    </row>
    <row r="48" spans="2:6" x14ac:dyDescent="0.25">
      <c r="B48" s="84" t="s">
        <v>112</v>
      </c>
      <c r="C48" s="100">
        <v>319243.73</v>
      </c>
      <c r="D48" s="100"/>
      <c r="E48" s="100"/>
      <c r="F48" s="100"/>
    </row>
    <row r="49" spans="2:11" x14ac:dyDescent="0.25">
      <c r="B49" s="84" t="s">
        <v>111</v>
      </c>
      <c r="C49" s="100">
        <v>-253096.89</v>
      </c>
      <c r="D49" s="100"/>
      <c r="E49" s="100"/>
      <c r="F49" s="100"/>
    </row>
    <row r="50" spans="2:11" x14ac:dyDescent="0.25">
      <c r="B50" s="84" t="s">
        <v>110</v>
      </c>
      <c r="C50" s="100">
        <v>-28785.27</v>
      </c>
      <c r="D50" s="100">
        <v>58946.93</v>
      </c>
      <c r="E50" s="100">
        <v>58946.93</v>
      </c>
      <c r="F50" s="100"/>
    </row>
    <row r="51" spans="2:11" x14ac:dyDescent="0.25">
      <c r="B51" s="84">
        <v>2204</v>
      </c>
      <c r="C51" s="100">
        <v>-9409.52</v>
      </c>
      <c r="D51" s="100"/>
      <c r="E51" s="100"/>
      <c r="F51" s="100"/>
    </row>
    <row r="52" spans="2:11" x14ac:dyDescent="0.25">
      <c r="B52" s="84" t="s">
        <v>109</v>
      </c>
      <c r="C52" s="100">
        <v>979.59000000000015</v>
      </c>
      <c r="D52" s="100">
        <v>2189.4</v>
      </c>
      <c r="E52" s="100">
        <v>2189.4</v>
      </c>
      <c r="F52" s="100"/>
    </row>
    <row r="53" spans="2:11" x14ac:dyDescent="0.25">
      <c r="B53" s="84" t="s">
        <v>108</v>
      </c>
      <c r="C53" s="100">
        <v>3626.72</v>
      </c>
      <c r="D53" s="100">
        <v>2347.2399999999998</v>
      </c>
      <c r="E53" s="100">
        <v>2347.2399999999998</v>
      </c>
      <c r="F53" s="100"/>
    </row>
    <row r="54" spans="2:11" x14ac:dyDescent="0.25">
      <c r="B54" s="84" t="s">
        <v>107</v>
      </c>
      <c r="C54" s="100">
        <v>0</v>
      </c>
      <c r="D54" s="100"/>
      <c r="E54" s="100"/>
      <c r="F54" s="100"/>
    </row>
    <row r="55" spans="2:11" x14ac:dyDescent="0.25">
      <c r="B55" s="84" t="s">
        <v>231</v>
      </c>
      <c r="C55" s="100">
        <v>0</v>
      </c>
      <c r="D55" s="100">
        <v>9296.35</v>
      </c>
      <c r="E55" s="100"/>
      <c r="F55" s="100"/>
    </row>
    <row r="56" spans="2:11" x14ac:dyDescent="0.25">
      <c r="B56" s="84" t="s">
        <v>285</v>
      </c>
      <c r="C56" s="100">
        <v>100</v>
      </c>
      <c r="D56" s="100">
        <v>100</v>
      </c>
      <c r="E56" s="100">
        <v>100</v>
      </c>
      <c r="F56" s="100"/>
    </row>
    <row r="57" spans="2:11" x14ac:dyDescent="0.25">
      <c r="B57" s="84" t="s">
        <v>232</v>
      </c>
      <c r="C57" s="100">
        <v>558690.80000000005</v>
      </c>
      <c r="D57" s="100">
        <f>462076.33+57189.52-9296.35</f>
        <v>509969.50000000006</v>
      </c>
      <c r="E57" s="100">
        <v>462076.33</v>
      </c>
      <c r="F57" s="100"/>
      <c r="K57" s="100"/>
    </row>
    <row r="58" spans="2:11" x14ac:dyDescent="0.25">
      <c r="B58" s="84" t="s">
        <v>286</v>
      </c>
      <c r="C58" s="100">
        <v>0</v>
      </c>
      <c r="D58" s="100"/>
      <c r="E58" s="100"/>
      <c r="F58" s="100"/>
    </row>
    <row r="59" spans="2:11" x14ac:dyDescent="0.25">
      <c r="B59" s="84" t="s">
        <v>106</v>
      </c>
      <c r="C59" s="100">
        <v>2.3283064365386963E-10</v>
      </c>
      <c r="D59" s="100"/>
      <c r="E59" s="100">
        <v>1725360.24</v>
      </c>
      <c r="F59" s="100"/>
    </row>
    <row r="60" spans="2:11" x14ac:dyDescent="0.25">
      <c r="B60" s="84" t="s">
        <v>105</v>
      </c>
      <c r="C60" s="100">
        <v>0</v>
      </c>
      <c r="D60" s="100"/>
      <c r="E60" s="100">
        <v>-27121.599999999999</v>
      </c>
      <c r="F60" s="100"/>
    </row>
    <row r="61" spans="2:11" x14ac:dyDescent="0.25">
      <c r="B61" s="84" t="s">
        <v>104</v>
      </c>
      <c r="C61" s="100">
        <v>0</v>
      </c>
      <c r="D61" s="100"/>
      <c r="E61" s="100">
        <v>-32309.23</v>
      </c>
      <c r="F61" s="100"/>
    </row>
    <row r="62" spans="2:11" x14ac:dyDescent="0.25">
      <c r="B62" s="84" t="s">
        <v>131</v>
      </c>
      <c r="C62" s="100">
        <v>0</v>
      </c>
      <c r="D62" s="100"/>
      <c r="E62" s="100">
        <v>-1030607.53</v>
      </c>
      <c r="F62" s="100"/>
    </row>
    <row r="63" spans="2:11" x14ac:dyDescent="0.25">
      <c r="B63" s="84" t="s">
        <v>233</v>
      </c>
      <c r="C63" s="100">
        <v>0</v>
      </c>
      <c r="D63" s="100"/>
      <c r="E63" s="100"/>
      <c r="F63" s="100"/>
    </row>
    <row r="64" spans="2:11" x14ac:dyDescent="0.25">
      <c r="B64" s="84" t="s">
        <v>103</v>
      </c>
      <c r="C64" s="100">
        <v>9.0949470177292824E-13</v>
      </c>
      <c r="D64" s="100"/>
      <c r="E64" s="100">
        <v>-6356.02</v>
      </c>
      <c r="F64" s="100"/>
    </row>
    <row r="65" spans="2:16" x14ac:dyDescent="0.25">
      <c r="B65" s="84" t="s">
        <v>102</v>
      </c>
      <c r="C65" s="100">
        <v>0</v>
      </c>
      <c r="D65" s="100"/>
      <c r="E65" s="100">
        <v>-18934.8</v>
      </c>
      <c r="F65" s="100"/>
    </row>
    <row r="66" spans="2:16" x14ac:dyDescent="0.25">
      <c r="B66" s="84" t="s">
        <v>130</v>
      </c>
      <c r="C66" s="100">
        <v>0</v>
      </c>
      <c r="D66" s="100"/>
      <c r="E66" s="100">
        <v>-6546.12</v>
      </c>
      <c r="F66" s="100"/>
    </row>
    <row r="67" spans="2:16" x14ac:dyDescent="0.25">
      <c r="B67" s="84" t="s">
        <v>101</v>
      </c>
      <c r="C67" s="100">
        <v>-1.4551915228366852E-11</v>
      </c>
      <c r="D67" s="100"/>
      <c r="E67" s="100">
        <v>-116180.47</v>
      </c>
      <c r="F67" s="100"/>
    </row>
    <row r="68" spans="2:16" x14ac:dyDescent="0.25">
      <c r="B68" s="84" t="s">
        <v>287</v>
      </c>
      <c r="C68" s="100">
        <v>0</v>
      </c>
      <c r="D68" s="100"/>
      <c r="E68" s="100"/>
      <c r="F68" s="100"/>
    </row>
    <row r="69" spans="2:16" x14ac:dyDescent="0.25">
      <c r="B69" s="84" t="s">
        <v>288</v>
      </c>
      <c r="C69" s="100">
        <v>0</v>
      </c>
      <c r="D69" s="100"/>
      <c r="E69" s="100"/>
      <c r="F69" s="100"/>
    </row>
    <row r="70" spans="2:16" x14ac:dyDescent="0.25">
      <c r="B70" s="84" t="s">
        <v>234</v>
      </c>
      <c r="C70" s="100">
        <v>0</v>
      </c>
      <c r="D70" s="100"/>
      <c r="E70" s="100">
        <v>-6403.74</v>
      </c>
      <c r="F70" s="100"/>
    </row>
    <row r="71" spans="2:16" x14ac:dyDescent="0.25">
      <c r="B71" s="84" t="s">
        <v>129</v>
      </c>
      <c r="C71" s="100">
        <v>0</v>
      </c>
      <c r="D71" s="100"/>
      <c r="E71" s="100">
        <v>-34536.400000000001</v>
      </c>
      <c r="F71" s="100"/>
    </row>
    <row r="72" spans="2:16" x14ac:dyDescent="0.25">
      <c r="B72" s="84" t="s">
        <v>164</v>
      </c>
      <c r="C72" s="100">
        <v>0</v>
      </c>
      <c r="D72" s="100"/>
      <c r="E72" s="100">
        <v>-714.81</v>
      </c>
      <c r="F72" s="100"/>
    </row>
    <row r="73" spans="2:16" x14ac:dyDescent="0.25">
      <c r="B73" s="84" t="s">
        <v>100</v>
      </c>
      <c r="C73" s="100">
        <v>0</v>
      </c>
      <c r="D73" s="100"/>
      <c r="E73" s="100">
        <v>-8946.6</v>
      </c>
      <c r="F73" s="100"/>
    </row>
    <row r="74" spans="2:16" x14ac:dyDescent="0.25">
      <c r="B74" s="84" t="s">
        <v>128</v>
      </c>
      <c r="C74" s="100">
        <v>0</v>
      </c>
      <c r="D74" s="100"/>
      <c r="E74" s="100">
        <v>-517</v>
      </c>
      <c r="F74" s="100"/>
    </row>
    <row r="75" spans="2:16" x14ac:dyDescent="0.25">
      <c r="B75" s="84" t="s">
        <v>127</v>
      </c>
      <c r="C75" s="100">
        <v>0</v>
      </c>
      <c r="D75" s="100"/>
      <c r="E75" s="100">
        <v>-9960.75</v>
      </c>
      <c r="F75" s="100"/>
      <c r="O75" s="79" t="s">
        <v>369</v>
      </c>
    </row>
    <row r="76" spans="2:16" x14ac:dyDescent="0.25">
      <c r="B76" s="84" t="s">
        <v>126</v>
      </c>
      <c r="C76" s="100">
        <v>0</v>
      </c>
      <c r="D76" s="100"/>
      <c r="E76" s="100">
        <v>-86230.399999999994</v>
      </c>
      <c r="F76" s="100"/>
    </row>
    <row r="77" spans="2:16" x14ac:dyDescent="0.25">
      <c r="B77" s="84" t="s">
        <v>99</v>
      </c>
      <c r="C77" s="100">
        <v>0</v>
      </c>
      <c r="D77" s="100"/>
      <c r="E77" s="100">
        <v>-17587.04</v>
      </c>
      <c r="F77" s="100"/>
      <c r="O77" s="79" t="s">
        <v>370</v>
      </c>
    </row>
    <row r="78" spans="2:16" x14ac:dyDescent="0.25">
      <c r="B78" s="84" t="s">
        <v>322</v>
      </c>
      <c r="C78" s="100">
        <v>0</v>
      </c>
      <c r="D78" s="100"/>
      <c r="E78" s="100"/>
      <c r="F78" s="100"/>
      <c r="O78" s="79" t="s">
        <v>371</v>
      </c>
      <c r="P78" s="79" t="s">
        <v>372</v>
      </c>
    </row>
    <row r="79" spans="2:16" x14ac:dyDescent="0.25">
      <c r="B79" s="84">
        <v>7604</v>
      </c>
      <c r="C79" s="100">
        <v>0</v>
      </c>
      <c r="D79" s="100"/>
      <c r="E79" s="100"/>
      <c r="F79" s="100"/>
    </row>
    <row r="80" spans="2:16" x14ac:dyDescent="0.25">
      <c r="B80" s="84" t="s">
        <v>323</v>
      </c>
      <c r="C80" s="100">
        <v>0</v>
      </c>
      <c r="D80" s="100"/>
      <c r="E80" s="100"/>
      <c r="F80" s="100"/>
      <c r="O80" s="100">
        <f>SUMIF(D59:D105,"&lt;0")*-1</f>
        <v>0</v>
      </c>
      <c r="P80" s="100">
        <f>SUMIF(D59:D105,"&gt;0")</f>
        <v>0</v>
      </c>
    </row>
    <row r="81" spans="2:16" x14ac:dyDescent="0.25">
      <c r="B81" s="84" t="s">
        <v>207</v>
      </c>
      <c r="C81" s="100">
        <v>0</v>
      </c>
      <c r="D81" s="100"/>
      <c r="E81" s="109">
        <f>-160.42+0.03</f>
        <v>-160.38999999999999</v>
      </c>
      <c r="F81" s="100"/>
      <c r="O81" s="79">
        <v>266242.18</v>
      </c>
      <c r="P81" s="79">
        <v>226837.24</v>
      </c>
    </row>
    <row r="82" spans="2:16" x14ac:dyDescent="0.25">
      <c r="B82" s="84" t="s">
        <v>125</v>
      </c>
      <c r="C82" s="100">
        <v>0</v>
      </c>
      <c r="D82" s="100"/>
      <c r="E82" s="100">
        <v>3549.79</v>
      </c>
      <c r="F82" s="100"/>
      <c r="O82" s="100">
        <f>O80+O81</f>
        <v>266242.18</v>
      </c>
      <c r="P82" s="100">
        <f>P80+P81</f>
        <v>226837.24</v>
      </c>
    </row>
    <row r="83" spans="2:16" x14ac:dyDescent="0.25">
      <c r="B83" s="84" t="s">
        <v>165</v>
      </c>
      <c r="C83" s="100">
        <v>-2.8421709430404007E-14</v>
      </c>
      <c r="D83" s="100"/>
      <c r="F83" s="100"/>
      <c r="O83" s="79">
        <v>57189.52</v>
      </c>
    </row>
    <row r="84" spans="2:16" x14ac:dyDescent="0.25">
      <c r="B84" s="84" t="s">
        <v>124</v>
      </c>
      <c r="C84" s="100">
        <v>0</v>
      </c>
      <c r="D84" s="100"/>
      <c r="E84" s="100">
        <v>-3780</v>
      </c>
      <c r="F84" s="100"/>
      <c r="O84" s="100">
        <f>O83+O82</f>
        <v>323431.7</v>
      </c>
      <c r="P84" s="100">
        <f>P83+P82</f>
        <v>226837.24</v>
      </c>
    </row>
    <row r="85" spans="2:16" x14ac:dyDescent="0.25">
      <c r="B85" s="84" t="s">
        <v>289</v>
      </c>
      <c r="C85" s="100">
        <v>0</v>
      </c>
      <c r="D85" s="100"/>
      <c r="F85" s="100"/>
    </row>
    <row r="86" spans="2:16" x14ac:dyDescent="0.25">
      <c r="B86" s="84" t="s">
        <v>98</v>
      </c>
      <c r="C86" s="100">
        <v>0</v>
      </c>
      <c r="D86" s="100"/>
      <c r="E86" s="100">
        <v>-2915.72</v>
      </c>
      <c r="F86" s="100"/>
    </row>
    <row r="87" spans="2:16" x14ac:dyDescent="0.25">
      <c r="B87" s="84" t="s">
        <v>123</v>
      </c>
      <c r="C87" s="100">
        <v>0</v>
      </c>
      <c r="D87" s="100"/>
      <c r="E87" s="100">
        <v>-1578.8</v>
      </c>
      <c r="F87" s="100"/>
    </row>
    <row r="88" spans="2:16" x14ac:dyDescent="0.25">
      <c r="B88" s="84" t="s">
        <v>235</v>
      </c>
      <c r="C88" s="100">
        <v>0</v>
      </c>
      <c r="D88" s="100"/>
      <c r="E88" s="100">
        <v>-1468</v>
      </c>
      <c r="F88" s="100"/>
    </row>
    <row r="89" spans="2:16" x14ac:dyDescent="0.25">
      <c r="B89" s="84" t="s">
        <v>290</v>
      </c>
      <c r="C89" s="100">
        <v>0</v>
      </c>
      <c r="D89" s="100"/>
      <c r="E89" s="100">
        <v>-1385</v>
      </c>
      <c r="F89" s="100"/>
    </row>
    <row r="90" spans="2:16" x14ac:dyDescent="0.25">
      <c r="B90" s="84" t="s">
        <v>122</v>
      </c>
      <c r="C90" s="100">
        <v>0</v>
      </c>
      <c r="D90" s="100"/>
      <c r="E90" s="100">
        <v>-5760.05</v>
      </c>
      <c r="F90" s="100"/>
    </row>
    <row r="91" spans="2:16" x14ac:dyDescent="0.25">
      <c r="B91" s="84" t="s">
        <v>97</v>
      </c>
      <c r="C91" s="100">
        <v>0</v>
      </c>
      <c r="D91" s="100"/>
      <c r="E91" s="100"/>
      <c r="F91" s="100"/>
    </row>
    <row r="92" spans="2:16" x14ac:dyDescent="0.25">
      <c r="B92" s="84" t="s">
        <v>96</v>
      </c>
      <c r="C92" s="100">
        <v>0</v>
      </c>
      <c r="D92" s="100"/>
      <c r="E92" s="100">
        <v>-9186.32</v>
      </c>
      <c r="F92" s="100"/>
    </row>
    <row r="93" spans="2:16" x14ac:dyDescent="0.25">
      <c r="B93" s="84" t="s">
        <v>95</v>
      </c>
      <c r="C93" s="100">
        <v>0</v>
      </c>
      <c r="D93" s="100"/>
      <c r="E93" s="100">
        <v>-1149.56</v>
      </c>
      <c r="F93" s="100"/>
    </row>
    <row r="94" spans="2:16" x14ac:dyDescent="0.25">
      <c r="B94" s="84" t="s">
        <v>121</v>
      </c>
      <c r="C94" s="100">
        <v>0</v>
      </c>
      <c r="D94" s="100"/>
      <c r="E94" s="100">
        <v>-23280.55</v>
      </c>
      <c r="F94" s="100"/>
    </row>
    <row r="95" spans="2:16" x14ac:dyDescent="0.25">
      <c r="B95" s="84" t="s">
        <v>94</v>
      </c>
      <c r="C95" s="100">
        <v>0</v>
      </c>
      <c r="D95" s="100"/>
      <c r="E95" s="100">
        <v>-2915.66</v>
      </c>
      <c r="F95" s="100"/>
    </row>
    <row r="96" spans="2:16" x14ac:dyDescent="0.25">
      <c r="B96" s="84" t="s">
        <v>93</v>
      </c>
      <c r="C96" s="100">
        <v>0</v>
      </c>
      <c r="D96" s="100"/>
      <c r="E96" s="100">
        <v>-105154.26</v>
      </c>
      <c r="F96" s="100"/>
    </row>
    <row r="97" spans="2:6" x14ac:dyDescent="0.25">
      <c r="B97" s="84" t="s">
        <v>92</v>
      </c>
      <c r="C97" s="100">
        <v>0</v>
      </c>
      <c r="D97" s="100"/>
      <c r="E97" s="100">
        <v>-39000</v>
      </c>
      <c r="F97" s="100"/>
    </row>
    <row r="98" spans="2:6" x14ac:dyDescent="0.25">
      <c r="B98" s="84" t="s">
        <v>91</v>
      </c>
      <c r="C98" s="100">
        <v>0</v>
      </c>
      <c r="D98" s="100"/>
      <c r="E98" s="100">
        <v>-3382.55</v>
      </c>
      <c r="F98" s="100"/>
    </row>
    <row r="99" spans="2:6" x14ac:dyDescent="0.25">
      <c r="B99" s="84" t="s">
        <v>90</v>
      </c>
      <c r="C99" s="100">
        <v>0</v>
      </c>
      <c r="D99" s="100"/>
      <c r="E99" s="100">
        <v>-7493.5</v>
      </c>
      <c r="F99" s="100"/>
    </row>
    <row r="100" spans="2:6" x14ac:dyDescent="0.25">
      <c r="B100" s="84" t="s">
        <v>89</v>
      </c>
      <c r="C100" s="100">
        <v>1.1368683772161603E-13</v>
      </c>
      <c r="D100" s="100"/>
      <c r="E100" s="100">
        <v>-5982.64</v>
      </c>
      <c r="F100" s="100"/>
    </row>
    <row r="101" spans="2:6" x14ac:dyDescent="0.25">
      <c r="B101" s="84" t="s">
        <v>120</v>
      </c>
      <c r="C101" s="100">
        <v>0</v>
      </c>
      <c r="D101" s="100"/>
      <c r="E101" s="100">
        <v>-280</v>
      </c>
      <c r="F101" s="100"/>
    </row>
    <row r="102" spans="2:6" x14ac:dyDescent="0.25">
      <c r="B102" s="84" t="s">
        <v>88</v>
      </c>
      <c r="C102" s="100">
        <v>0</v>
      </c>
      <c r="D102" s="100"/>
      <c r="E102" s="100">
        <v>-6295.98</v>
      </c>
      <c r="F102" s="100"/>
    </row>
    <row r="103" spans="2:6" x14ac:dyDescent="0.25">
      <c r="B103" s="84" t="s">
        <v>87</v>
      </c>
      <c r="C103" s="100">
        <v>0</v>
      </c>
      <c r="D103" s="100"/>
      <c r="E103" s="100">
        <v>-8194.0400000000009</v>
      </c>
      <c r="F103" s="100"/>
    </row>
    <row r="104" spans="2:6" x14ac:dyDescent="0.25">
      <c r="B104" s="84" t="s">
        <v>236</v>
      </c>
      <c r="C104" s="100">
        <v>1.2807532812075806E-11</v>
      </c>
      <c r="D104" s="100"/>
      <c r="E104" s="100"/>
      <c r="F104" s="100"/>
    </row>
    <row r="105" spans="2:6" x14ac:dyDescent="0.25">
      <c r="B105" s="84" t="s">
        <v>86</v>
      </c>
      <c r="C105" s="100">
        <v>0</v>
      </c>
      <c r="D105" s="100"/>
      <c r="E105" s="100"/>
      <c r="F105" s="100"/>
    </row>
  </sheetData>
  <conditionalFormatting sqref="C6:N6">
    <cfRule type="cellIs" dxfId="192" priority="1" operator="notBetween">
      <formula>-0.005</formula>
      <formula>0.005</formula>
    </cfRule>
    <cfRule type="cellIs" dxfId="191" priority="2" operator="between">
      <formula>-0.005</formula>
      <formula>0.005</formula>
    </cfRule>
  </conditionalFormatting>
  <pageMargins left="0.7" right="0.7" top="0.75" bottom="0.75" header="0.3" footer="0.3"/>
  <pageSetup paperSize="9" orientation="portrait" horizontalDpi="0" verticalDpi="0" r:id="rId1"/>
  <headerFooter>
    <oddHeader>&amp;RApr 15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CC105"/>
  <sheetViews>
    <sheetView workbookViewId="0">
      <pane xSplit="2" ySplit="9" topLeftCell="BH78" activePane="bottomRight" state="frozen"/>
      <selection pane="topRight" activeCell="C1" sqref="C1"/>
      <selection pane="bottomLeft" activeCell="A10" sqref="A10"/>
      <selection pane="bottomRight" activeCell="BS34" sqref="BS34"/>
    </sheetView>
  </sheetViews>
  <sheetFormatPr defaultRowHeight="15" x14ac:dyDescent="0.25"/>
  <cols>
    <col min="2" max="2" width="11.7109375" customWidth="1"/>
    <col min="3" max="15" width="13.7109375" customWidth="1"/>
  </cols>
  <sheetData>
    <row r="1" spans="2:81" ht="18.75" x14ac:dyDescent="0.3">
      <c r="B1" s="56" t="s">
        <v>139</v>
      </c>
    </row>
    <row r="2" spans="2:81" ht="18.75" x14ac:dyDescent="0.3">
      <c r="B2" s="56" t="s">
        <v>493</v>
      </c>
      <c r="G2" t="s">
        <v>143</v>
      </c>
      <c r="H2" t="s">
        <v>143</v>
      </c>
    </row>
    <row r="3" spans="2:81" s="79" customFormat="1" ht="18.75" x14ac:dyDescent="0.3">
      <c r="B3" s="56"/>
    </row>
    <row r="4" spans="2:81" s="79" customFormat="1" ht="18.75" x14ac:dyDescent="0.3">
      <c r="B4" s="56"/>
    </row>
    <row r="5" spans="2:81" x14ac:dyDescent="0.25">
      <c r="B5">
        <v>1</v>
      </c>
      <c r="C5" s="105">
        <v>2</v>
      </c>
      <c r="D5" s="105">
        <v>3</v>
      </c>
      <c r="E5" s="105">
        <v>4</v>
      </c>
      <c r="F5" s="105">
        <v>5</v>
      </c>
      <c r="G5" s="105">
        <v>6</v>
      </c>
      <c r="H5" s="105">
        <v>7</v>
      </c>
      <c r="I5" s="105">
        <v>8</v>
      </c>
      <c r="J5" s="105">
        <v>9</v>
      </c>
      <c r="K5" s="105">
        <v>10</v>
      </c>
      <c r="L5" s="105">
        <v>11</v>
      </c>
      <c r="M5" s="105">
        <v>12</v>
      </c>
      <c r="N5" s="105">
        <v>13</v>
      </c>
      <c r="O5" s="105">
        <v>14</v>
      </c>
      <c r="P5" s="105">
        <v>15</v>
      </c>
      <c r="Q5" s="105">
        <v>16</v>
      </c>
      <c r="R5" s="105">
        <v>17</v>
      </c>
      <c r="S5" s="105">
        <v>18</v>
      </c>
      <c r="T5" s="105">
        <v>19</v>
      </c>
      <c r="U5" s="105">
        <v>20</v>
      </c>
      <c r="V5" s="105">
        <v>21</v>
      </c>
      <c r="W5" s="105">
        <v>22</v>
      </c>
      <c r="X5" s="105">
        <v>23</v>
      </c>
      <c r="Y5" s="105">
        <v>24</v>
      </c>
      <c r="Z5" s="105">
        <v>25</v>
      </c>
      <c r="AA5" s="105">
        <v>26</v>
      </c>
      <c r="AB5" s="105">
        <v>27</v>
      </c>
      <c r="AC5" s="105">
        <v>28</v>
      </c>
      <c r="AD5" s="105">
        <v>29</v>
      </c>
      <c r="AE5" s="108">
        <v>30</v>
      </c>
      <c r="AF5" s="108">
        <v>31</v>
      </c>
      <c r="AG5" s="108">
        <v>32</v>
      </c>
      <c r="AH5" s="108">
        <v>33</v>
      </c>
      <c r="AI5" s="108">
        <v>34</v>
      </c>
      <c r="AJ5" s="108">
        <v>35</v>
      </c>
      <c r="AK5" s="108">
        <v>36</v>
      </c>
      <c r="AL5" s="108">
        <v>37</v>
      </c>
      <c r="AM5" s="108">
        <v>38</v>
      </c>
      <c r="AN5" s="108">
        <v>39</v>
      </c>
      <c r="AO5" s="108">
        <v>40</v>
      </c>
      <c r="AP5" s="108">
        <v>41</v>
      </c>
      <c r="AQ5" s="108">
        <v>42</v>
      </c>
      <c r="AR5" s="108">
        <v>43</v>
      </c>
      <c r="AS5" s="108">
        <v>44</v>
      </c>
      <c r="AT5" s="108">
        <v>45</v>
      </c>
      <c r="AU5" s="108">
        <v>46</v>
      </c>
      <c r="AV5" s="108">
        <v>47</v>
      </c>
      <c r="AW5" s="108">
        <v>48</v>
      </c>
      <c r="AX5" s="108">
        <v>49</v>
      </c>
      <c r="AY5" s="108">
        <v>50</v>
      </c>
      <c r="AZ5" s="108">
        <v>51</v>
      </c>
      <c r="BA5" s="108">
        <v>52</v>
      </c>
      <c r="BB5" s="108">
        <v>53</v>
      </c>
      <c r="BC5" s="107">
        <v>54</v>
      </c>
      <c r="BD5" s="107">
        <v>55</v>
      </c>
      <c r="BE5" s="107">
        <v>54</v>
      </c>
      <c r="BF5" s="146">
        <v>55</v>
      </c>
      <c r="BG5" s="146">
        <v>56</v>
      </c>
      <c r="BH5" s="146">
        <v>57</v>
      </c>
      <c r="BI5" s="146">
        <v>58</v>
      </c>
      <c r="BJ5" s="146">
        <v>59</v>
      </c>
      <c r="BK5" s="146">
        <v>60</v>
      </c>
      <c r="BL5" s="146">
        <v>61</v>
      </c>
      <c r="BM5" s="146">
        <v>62</v>
      </c>
      <c r="BN5" s="146">
        <v>63</v>
      </c>
      <c r="BO5" s="146">
        <v>64</v>
      </c>
      <c r="BP5" s="146">
        <v>65</v>
      </c>
      <c r="BQ5" s="146">
        <v>66</v>
      </c>
      <c r="BR5" s="146">
        <v>67</v>
      </c>
      <c r="BS5" s="146">
        <v>68</v>
      </c>
      <c r="BT5" s="146">
        <v>69</v>
      </c>
      <c r="BU5" s="146">
        <v>70</v>
      </c>
      <c r="BV5" s="146">
        <v>71</v>
      </c>
      <c r="BW5" s="146">
        <v>72</v>
      </c>
      <c r="BX5" s="146">
        <v>73</v>
      </c>
      <c r="BY5" s="146">
        <v>74</v>
      </c>
      <c r="BZ5" s="146">
        <v>75</v>
      </c>
      <c r="CA5" s="146">
        <v>76</v>
      </c>
      <c r="CB5" s="146">
        <v>77</v>
      </c>
      <c r="CC5" s="146">
        <v>78</v>
      </c>
    </row>
    <row r="6" spans="2:81" x14ac:dyDescent="0.25">
      <c r="C6" s="60">
        <f>SUM(C10:C105)</f>
        <v>-1.5279510989785194E-10</v>
      </c>
      <c r="D6" s="60">
        <f t="shared" ref="D6:BD6" si="0">SUM(D10:D105)</f>
        <v>2.9103830456733704E-11</v>
      </c>
      <c r="E6" s="60">
        <f t="shared" si="0"/>
        <v>2.0691004465334117E-11</v>
      </c>
      <c r="F6" s="60">
        <f t="shared" si="0"/>
        <v>-4.0927261579781771E-12</v>
      </c>
      <c r="G6" s="60">
        <f t="shared" si="0"/>
        <v>-2.5920599000528455E-11</v>
      </c>
      <c r="H6" s="60">
        <f t="shared" si="0"/>
        <v>-4.4565240386873484E-11</v>
      </c>
      <c r="I6" s="60">
        <f t="shared" si="0"/>
        <v>1.0004441719502211E-11</v>
      </c>
      <c r="J6" s="60">
        <f t="shared" si="0"/>
        <v>1.3824319466948509E-10</v>
      </c>
      <c r="K6" s="60">
        <f t="shared" si="0"/>
        <v>-6.0026650317013264E-11</v>
      </c>
      <c r="L6" s="60">
        <f t="shared" si="0"/>
        <v>-5.3660187404602766E-11</v>
      </c>
      <c r="M6" s="60">
        <f t="shared" si="0"/>
        <v>9.4587448984384537E-11</v>
      </c>
      <c r="N6" s="60">
        <f t="shared" si="0"/>
        <v>7.1850081440061331E-11</v>
      </c>
      <c r="O6" s="60">
        <f t="shared" si="0"/>
        <v>-2.9285729397088289E-10</v>
      </c>
      <c r="P6" s="60">
        <f t="shared" si="0"/>
        <v>-7.8216544352471828E-11</v>
      </c>
      <c r="Q6" s="60">
        <f t="shared" si="0"/>
        <v>-1.1198153515579179E-11</v>
      </c>
      <c r="R6" s="60">
        <f t="shared" si="0"/>
        <v>3.4197000786662102E-10</v>
      </c>
      <c r="S6" s="60">
        <f t="shared" si="0"/>
        <v>2.0691004465334117E-11</v>
      </c>
      <c r="T6" s="60">
        <f t="shared" si="0"/>
        <v>-4.5474735088646412E-13</v>
      </c>
      <c r="U6" s="60">
        <f t="shared" si="0"/>
        <v>-3.865352482534945E-12</v>
      </c>
      <c r="V6" s="60">
        <f t="shared" si="0"/>
        <v>-4.5474735088646412E-12</v>
      </c>
      <c r="W6" s="60">
        <f t="shared" si="0"/>
        <v>-2.0463630789890885E-12</v>
      </c>
      <c r="X6" s="60">
        <f t="shared" si="0"/>
        <v>-6.5938365878537297E-12</v>
      </c>
      <c r="Y6" s="60">
        <f t="shared" si="0"/>
        <v>-8.1854523159563541E-12</v>
      </c>
      <c r="Z6" s="60">
        <f t="shared" si="0"/>
        <v>2.5011104298755527E-12</v>
      </c>
      <c r="AA6" s="60">
        <f t="shared" si="0"/>
        <v>-1.3415046851150692E-11</v>
      </c>
      <c r="AB6" s="60">
        <f t="shared" si="0"/>
        <v>-9.3223206931725144E-12</v>
      </c>
      <c r="AC6" s="60">
        <f t="shared" si="0"/>
        <v>1.7053025658242404E-12</v>
      </c>
      <c r="AD6" s="60">
        <f t="shared" si="0"/>
        <v>-1.7962520360015333E-11</v>
      </c>
      <c r="AE6" s="60">
        <f t="shared" si="0"/>
        <v>4.6156856114976108E-11</v>
      </c>
      <c r="AF6" s="60">
        <f t="shared" si="0"/>
        <v>3.1150193535722792E-11</v>
      </c>
      <c r="AG6" s="60">
        <f t="shared" si="0"/>
        <v>2.6830093702301383E-11</v>
      </c>
      <c r="AH6" s="60">
        <f t="shared" si="0"/>
        <v>-4.8203219193965197E-11</v>
      </c>
      <c r="AI6" s="60">
        <f t="shared" si="0"/>
        <v>1.5916157281026244E-11</v>
      </c>
      <c r="AJ6" s="60">
        <f t="shared" si="0"/>
        <v>-7.73070496506989E-12</v>
      </c>
      <c r="AK6" s="60">
        <f t="shared" si="0"/>
        <v>8.8220986071974039E-11</v>
      </c>
      <c r="AL6" s="60">
        <f t="shared" si="0"/>
        <v>2.4920154828578234E-10</v>
      </c>
      <c r="AM6" s="60">
        <f t="shared" si="0"/>
        <v>-7.4578565545380116E-11</v>
      </c>
      <c r="AN6" s="60">
        <f t="shared" si="0"/>
        <v>1.8826540326699615E-10</v>
      </c>
      <c r="AO6" s="60">
        <f t="shared" si="0"/>
        <v>3.2014213502407074E-10</v>
      </c>
      <c r="AP6" s="60">
        <f t="shared" si="0"/>
        <v>1.1186784831807017E-10</v>
      </c>
      <c r="AQ6" s="60">
        <f t="shared" si="0"/>
        <v>4.6156856114976108E-11</v>
      </c>
      <c r="AR6" s="60">
        <f t="shared" si="0"/>
        <v>-7.73070496506989E-12</v>
      </c>
      <c r="AS6" s="60">
        <f t="shared" si="0"/>
        <v>1.7564616427989677E-11</v>
      </c>
      <c r="AT6" s="60">
        <f t="shared" si="0"/>
        <v>-3.637978807091713E-12</v>
      </c>
      <c r="AU6" s="60">
        <f t="shared" si="0"/>
        <v>1.0629719326971099E-11</v>
      </c>
      <c r="AV6" s="60">
        <f t="shared" si="0"/>
        <v>-1.0516032489249483E-11</v>
      </c>
      <c r="AW6" s="60">
        <f t="shared" si="0"/>
        <v>-2.6091129257110879E-11</v>
      </c>
      <c r="AX6" s="60">
        <f t="shared" si="0"/>
        <v>1.0913936421275139E-11</v>
      </c>
      <c r="AY6" s="60">
        <f t="shared" si="0"/>
        <v>2.4670043785590678E-11</v>
      </c>
      <c r="AZ6" s="60">
        <f t="shared" si="0"/>
        <v>-2.7171154215466231E-11</v>
      </c>
      <c r="BA6" s="60">
        <f t="shared" si="0"/>
        <v>2.4215296434704214E-11</v>
      </c>
      <c r="BB6" s="60">
        <f t="shared" si="0"/>
        <v>1.0345502232667059E-11</v>
      </c>
      <c r="BC6" s="60">
        <f t="shared" si="0"/>
        <v>2.3208102106764272E-10</v>
      </c>
      <c r="BD6" s="60">
        <f t="shared" si="0"/>
        <v>-1.1641532182693481E-10</v>
      </c>
      <c r="BE6" s="60">
        <f t="shared" ref="BE6" si="1">SUM(BE10:BE105)</f>
        <v>0</v>
      </c>
      <c r="BF6" s="60">
        <f t="shared" ref="BF6:CC6" si="2">SUM(BF10:BF105)</f>
        <v>2.5181634555337951E-11</v>
      </c>
      <c r="BG6" s="60">
        <f t="shared" si="2"/>
        <v>6.7643668444361538E-12</v>
      </c>
      <c r="BH6" s="60">
        <f t="shared" si="2"/>
        <v>6.7643668444361538E-12</v>
      </c>
      <c r="BI6" s="60">
        <f t="shared" si="2"/>
        <v>6.7643668444361538E-12</v>
      </c>
      <c r="BJ6" s="60">
        <f t="shared" si="2"/>
        <v>6.7643668444361538E-12</v>
      </c>
      <c r="BK6" s="60">
        <f t="shared" si="2"/>
        <v>6.7643668444361538E-12</v>
      </c>
      <c r="BL6" s="60">
        <f t="shared" si="2"/>
        <v>6.7643668444361538E-12</v>
      </c>
      <c r="BM6" s="60">
        <f t="shared" si="2"/>
        <v>6.7643668444361538E-12</v>
      </c>
      <c r="BN6" s="60">
        <f t="shared" si="2"/>
        <v>6.7643668444361538E-12</v>
      </c>
      <c r="BO6" s="60">
        <f t="shared" si="2"/>
        <v>6.7643668444361538E-12</v>
      </c>
      <c r="BP6" s="60">
        <f t="shared" si="2"/>
        <v>6.7643668444361538E-12</v>
      </c>
      <c r="BQ6" s="60">
        <f t="shared" si="2"/>
        <v>6.7643668444361538E-12</v>
      </c>
      <c r="BR6" s="60">
        <f t="shared" si="2"/>
        <v>-725358.55999999982</v>
      </c>
      <c r="BS6" s="60">
        <f t="shared" si="2"/>
        <v>-326096.81</v>
      </c>
      <c r="BT6" s="60">
        <f t="shared" si="2"/>
        <v>-1292.8399999999999</v>
      </c>
      <c r="BU6" s="60">
        <f t="shared" si="2"/>
        <v>-118.3</v>
      </c>
      <c r="BV6" s="60">
        <f t="shared" si="2"/>
        <v>-1902.95</v>
      </c>
      <c r="BW6" s="60">
        <f t="shared" si="2"/>
        <v>0</v>
      </c>
      <c r="BX6" s="60">
        <f t="shared" si="2"/>
        <v>0</v>
      </c>
      <c r="BY6" s="60">
        <f t="shared" si="2"/>
        <v>0</v>
      </c>
      <c r="BZ6" s="60">
        <f t="shared" si="2"/>
        <v>0</v>
      </c>
      <c r="CA6" s="60">
        <f t="shared" si="2"/>
        <v>0</v>
      </c>
      <c r="CB6" s="60">
        <f t="shared" si="2"/>
        <v>0</v>
      </c>
      <c r="CC6" s="60">
        <f t="shared" si="2"/>
        <v>0</v>
      </c>
    </row>
    <row r="7" spans="2:81" x14ac:dyDescent="0.25">
      <c r="B7" s="84">
        <v>1</v>
      </c>
      <c r="C7" s="79" t="str">
        <f t="array" ref="C7:AD105">'TB Data 14-15'!C7:AD105</f>
        <v>YTD</v>
      </c>
      <c r="D7" s="79" t="str">
        <v>YTD</v>
      </c>
      <c r="E7" s="79" t="str">
        <v>YTD</v>
      </c>
      <c r="F7" s="79" t="str">
        <v>YTD</v>
      </c>
      <c r="G7" s="79" t="str">
        <v>YTD</v>
      </c>
      <c r="H7" s="79" t="str">
        <v>YTD</v>
      </c>
      <c r="I7" s="79" t="str">
        <v>YTD</v>
      </c>
      <c r="J7" s="79" t="str">
        <v>YTD</v>
      </c>
      <c r="K7" s="79" t="str">
        <v>YTD</v>
      </c>
      <c r="L7" s="79" t="str">
        <v>YTD</v>
      </c>
      <c r="M7" s="79" t="str">
        <v>YTD</v>
      </c>
      <c r="N7" s="79" t="str">
        <v>YTD</v>
      </c>
      <c r="O7" s="79" t="str">
        <v>YTD</v>
      </c>
      <c r="P7" s="79" t="str">
        <v>YTD</v>
      </c>
      <c r="Q7" s="79" t="str">
        <v>MTD</v>
      </c>
      <c r="R7" s="79" t="str">
        <v>MTD</v>
      </c>
      <c r="S7" s="79" t="str">
        <v>MTD</v>
      </c>
      <c r="T7" s="79" t="str">
        <v>MTD</v>
      </c>
      <c r="U7" s="79" t="str">
        <v>MTD</v>
      </c>
      <c r="V7" s="79" t="str">
        <v>MTD</v>
      </c>
      <c r="W7" s="79" t="str">
        <v>MTD</v>
      </c>
      <c r="X7" s="79" t="str">
        <v>MTD</v>
      </c>
      <c r="Y7" s="79" t="str">
        <v>MTD</v>
      </c>
      <c r="Z7" s="79" t="str">
        <v>MTD</v>
      </c>
      <c r="AA7" s="79" t="str">
        <v>MTD</v>
      </c>
      <c r="AB7" s="79" t="str">
        <v>MTD</v>
      </c>
      <c r="AC7" s="79" t="str">
        <v>MTD</v>
      </c>
      <c r="AD7" s="79" t="str">
        <v>MTD</v>
      </c>
      <c r="AE7" t="str">
        <f t="array" ref="AE7:BB105">'TB Data 15-16'!C7:Z105</f>
        <v>YTD</v>
      </c>
      <c r="AF7" t="str">
        <v>YTD</v>
      </c>
      <c r="AG7" t="str">
        <v>YTD</v>
      </c>
      <c r="AH7" t="str">
        <v>YTD</v>
      </c>
      <c r="AI7" t="str">
        <v>YTD</v>
      </c>
      <c r="AJ7" t="str">
        <v>YTD</v>
      </c>
      <c r="AK7" t="str">
        <v>YTD</v>
      </c>
      <c r="AL7" t="str">
        <v>YTD</v>
      </c>
      <c r="AM7" t="str">
        <v>YTD</v>
      </c>
      <c r="AN7" t="str">
        <v>YTD</v>
      </c>
      <c r="AO7" t="str">
        <v>YTD</v>
      </c>
      <c r="AP7" t="str">
        <v>YTD</v>
      </c>
      <c r="AQ7" t="str">
        <v>MTD</v>
      </c>
      <c r="AR7" t="str">
        <v>MTD</v>
      </c>
      <c r="AS7" t="str">
        <v>MTD</v>
      </c>
      <c r="AT7" t="str">
        <v>MTD</v>
      </c>
      <c r="AU7" t="str">
        <v>MTD</v>
      </c>
      <c r="AV7" t="str">
        <v>MTD</v>
      </c>
      <c r="AW7" t="str">
        <v>MTD</v>
      </c>
      <c r="AX7" t="str">
        <v>MTD</v>
      </c>
      <c r="AY7" t="str">
        <v>MTD</v>
      </c>
      <c r="AZ7" t="str">
        <v>MTD</v>
      </c>
      <c r="BA7" t="str">
        <v>MTD</v>
      </c>
      <c r="BB7" t="str">
        <v>MTD</v>
      </c>
      <c r="BC7" t="str">
        <f t="array" ref="BC7:BD105">'TB Data Special'!C7:D105</f>
        <v>YTD</v>
      </c>
      <c r="BD7" t="str">
        <v>EOY</v>
      </c>
      <c r="BE7" s="79" t="str">
        <f t="array" ref="BE7:BE105">'TB Data Special'!F7:F105</f>
        <v>YTD</v>
      </c>
      <c r="BF7" s="79" t="str">
        <f t="array" ref="BF7:CC105">'TB Data 16-17'!C7:Z105</f>
        <v>YTD</v>
      </c>
      <c r="BG7" s="79" t="str">
        <v>YTD</v>
      </c>
      <c r="BH7" s="79" t="str">
        <v>YTD</v>
      </c>
      <c r="BI7" s="79" t="str">
        <v>YTD</v>
      </c>
      <c r="BJ7" s="79" t="str">
        <v>YTD</v>
      </c>
      <c r="BK7" s="79" t="str">
        <v>YTD</v>
      </c>
      <c r="BL7" s="79" t="str">
        <v>YTD</v>
      </c>
      <c r="BM7" s="79" t="str">
        <v>YTD</v>
      </c>
      <c r="BN7" s="79" t="str">
        <v>YTD</v>
      </c>
      <c r="BO7" s="79" t="str">
        <v>YTD</v>
      </c>
      <c r="BP7" s="79" t="str">
        <v>YTD</v>
      </c>
      <c r="BQ7" s="79" t="str">
        <v>YTD</v>
      </c>
      <c r="BR7" s="79" t="str">
        <v>MTD</v>
      </c>
      <c r="BS7" s="79" t="str">
        <v>MTD</v>
      </c>
      <c r="BT7" s="79" t="str">
        <v>MTD</v>
      </c>
      <c r="BU7" s="79" t="str">
        <v>MTD</v>
      </c>
      <c r="BV7" s="79" t="str">
        <v>MTD</v>
      </c>
      <c r="BW7" s="79">
        <v>0</v>
      </c>
      <c r="BX7" s="79">
        <v>0</v>
      </c>
      <c r="BY7" s="79">
        <v>0</v>
      </c>
      <c r="BZ7" s="79">
        <v>0</v>
      </c>
      <c r="CA7" s="79">
        <v>0</v>
      </c>
      <c r="CB7" s="79">
        <v>0</v>
      </c>
      <c r="CC7" s="79">
        <v>0</v>
      </c>
    </row>
    <row r="8" spans="2:81" x14ac:dyDescent="0.25">
      <c r="B8" s="84">
        <v>2</v>
      </c>
      <c r="C8" s="79" t="str">
        <v>Dec-13</v>
      </c>
      <c r="D8" s="79" t="str">
        <v>Jan-14</v>
      </c>
      <c r="E8" s="79" t="str">
        <v>Feb-14</v>
      </c>
      <c r="F8" s="79" t="str">
        <v>Mar-14</v>
      </c>
      <c r="G8" s="79" t="str">
        <v>Apr-14</v>
      </c>
      <c r="H8" s="79" t="str">
        <v>May-14</v>
      </c>
      <c r="I8" s="79" t="str">
        <v>Jun-14</v>
      </c>
      <c r="J8" s="79" t="str">
        <v>Jul-14</v>
      </c>
      <c r="K8" s="79" t="str">
        <v>Aug-14</v>
      </c>
      <c r="L8" s="79" t="str">
        <v>Sep-14</v>
      </c>
      <c r="M8" s="79" t="str">
        <v>Oct-14</v>
      </c>
      <c r="N8" s="79" t="str">
        <v>Nov-14</v>
      </c>
      <c r="O8" s="79" t="str">
        <v>Dec-14</v>
      </c>
      <c r="P8" s="79" t="str">
        <v>Jan-15</v>
      </c>
      <c r="Q8" s="79" t="str">
        <v>Dec-13</v>
      </c>
      <c r="R8" s="79" t="str">
        <v>Jan-14</v>
      </c>
      <c r="S8" s="103" t="str">
        <v>Feb-14</v>
      </c>
      <c r="T8" s="79" t="str">
        <v>Mar-14</v>
      </c>
      <c r="U8" s="79" t="str">
        <v>Apr-14</v>
      </c>
      <c r="V8" s="79" t="str">
        <v>May-14</v>
      </c>
      <c r="W8" s="79" t="str">
        <v>Jun-14</v>
      </c>
      <c r="X8" s="79" t="str">
        <v>Jul-14</v>
      </c>
      <c r="Y8" s="79" t="str">
        <v>Aug-14</v>
      </c>
      <c r="Z8" s="79" t="str">
        <v>Sep-14</v>
      </c>
      <c r="AA8" s="79" t="str">
        <v>Oct-14</v>
      </c>
      <c r="AB8" s="79" t="str">
        <v>Nov-14</v>
      </c>
      <c r="AC8" s="79" t="str">
        <v>Dec-14</v>
      </c>
      <c r="AD8" s="79" t="str">
        <v>Jan-15</v>
      </c>
      <c r="AE8" t="str">
        <v>Feb-15</v>
      </c>
      <c r="AF8" t="str">
        <v>Mar-15</v>
      </c>
      <c r="AG8" t="str">
        <v>Apr-15</v>
      </c>
      <c r="AH8" t="str">
        <v>May-15</v>
      </c>
      <c r="AI8" t="str">
        <v>Jun-15</v>
      </c>
      <c r="AJ8" t="str">
        <v>Jul-15</v>
      </c>
      <c r="AK8" t="str">
        <v>Aug-15</v>
      </c>
      <c r="AL8" t="str">
        <v>Sep-15</v>
      </c>
      <c r="AM8" t="str">
        <v>Oct-15</v>
      </c>
      <c r="AN8" t="str">
        <v>Nov-15</v>
      </c>
      <c r="AO8" t="str">
        <v>Dec-15</v>
      </c>
      <c r="AP8" t="str">
        <v>Jan-16</v>
      </c>
      <c r="AQ8" t="str">
        <v>Feb-15</v>
      </c>
      <c r="AR8" t="str">
        <v>Mar-15</v>
      </c>
      <c r="AS8" t="str">
        <v>Apr-15</v>
      </c>
      <c r="AT8" t="str">
        <v>May-15</v>
      </c>
      <c r="AU8" t="str">
        <v>Jun-15</v>
      </c>
      <c r="AV8" t="str">
        <v>Jul-15</v>
      </c>
      <c r="AW8" t="str">
        <v>Aug-15</v>
      </c>
      <c r="AX8" t="str">
        <v>Sep-15</v>
      </c>
      <c r="AY8" t="str">
        <v>Oct-15</v>
      </c>
      <c r="AZ8" t="str">
        <v>Nov-15</v>
      </c>
      <c r="BA8" t="str">
        <v>Dec-15</v>
      </c>
      <c r="BB8" t="str">
        <v>Jan-16</v>
      </c>
      <c r="BC8" s="103">
        <v>42005</v>
      </c>
      <c r="BD8" s="103">
        <v>41640</v>
      </c>
      <c r="BE8" s="103">
        <v>42370</v>
      </c>
      <c r="BF8" s="79" t="str">
        <v>Feb-16</v>
      </c>
      <c r="BG8" s="79" t="str">
        <v>Mar-16</v>
      </c>
      <c r="BH8" s="79" t="str">
        <v>Apr-16</v>
      </c>
      <c r="BI8" s="79" t="str">
        <v>May-16</v>
      </c>
      <c r="BJ8" s="79" t="str">
        <v>Jun-16</v>
      </c>
      <c r="BK8" s="79" t="str">
        <v>Jul-16</v>
      </c>
      <c r="BL8" s="79" t="str">
        <v>Aug-16</v>
      </c>
      <c r="BM8" s="79" t="str">
        <v>Sep-16</v>
      </c>
      <c r="BN8" s="79" t="str">
        <v>Oct-16</v>
      </c>
      <c r="BO8" s="79" t="str">
        <v>Nov-16</v>
      </c>
      <c r="BP8" s="79" t="str">
        <v>Dec-16</v>
      </c>
      <c r="BQ8" s="79" t="str">
        <v>Jan-17</v>
      </c>
      <c r="BR8" s="79" t="str">
        <v>Feb-16</v>
      </c>
      <c r="BS8" s="79" t="str">
        <v>Mar-16</v>
      </c>
      <c r="BT8" s="79" t="str">
        <v>Apr-16</v>
      </c>
      <c r="BU8" s="79" t="str">
        <v>Sep-16</v>
      </c>
      <c r="BV8" s="79" t="str">
        <v>Oct-16</v>
      </c>
      <c r="BW8" s="79">
        <v>0</v>
      </c>
      <c r="BX8" s="79">
        <v>0</v>
      </c>
      <c r="BY8" s="79">
        <v>0</v>
      </c>
      <c r="BZ8" s="79">
        <v>0</v>
      </c>
      <c r="CA8" s="79">
        <v>0</v>
      </c>
      <c r="CB8" s="79">
        <v>0</v>
      </c>
      <c r="CC8" s="79">
        <v>0</v>
      </c>
    </row>
    <row r="9" spans="2:81" x14ac:dyDescent="0.25">
      <c r="B9" s="84">
        <v>3</v>
      </c>
      <c r="C9" s="79" t="str">
        <v>TTB-YTD-DEC-13</v>
      </c>
      <c r="D9" s="79" t="str">
        <v>TTB-YTD-JAN-14</v>
      </c>
      <c r="E9" s="79" t="str">
        <v>TTB-YTD-FEB-14</v>
      </c>
      <c r="F9" s="79" t="str">
        <v>TTB-YTD-MAR-14</v>
      </c>
      <c r="G9" s="79" t="str">
        <v>TTB-YTD-APR-14</v>
      </c>
      <c r="H9" s="79" t="str">
        <v>TTB-YTD-MAY-14</v>
      </c>
      <c r="I9" s="79" t="str">
        <v>TTB-YTD-JUN-14</v>
      </c>
      <c r="J9" s="79" t="str">
        <v>TTB-YTD-JUL-14</v>
      </c>
      <c r="K9" s="79" t="str">
        <v>TTB-YTD-AUG-14</v>
      </c>
      <c r="L9" s="79" t="str">
        <v>TTB-YTD-SEP-14</v>
      </c>
      <c r="M9" s="79" t="str">
        <v>TTB-YTD-OCT-14</v>
      </c>
      <c r="N9" s="79" t="str">
        <v>TTB-YTD-NOV-14</v>
      </c>
      <c r="O9" s="79" t="str">
        <v>TTB-YTD-DEC-14</v>
      </c>
      <c r="P9" s="79" t="str">
        <v>TTB-YTD-JAN-15</v>
      </c>
      <c r="Q9" s="79" t="str">
        <v>TTB-MTD-DEC-13</v>
      </c>
      <c r="R9" s="79" t="str">
        <v>TTB-MTD-JAN-14</v>
      </c>
      <c r="S9" s="79" t="str">
        <v>TTB-MTD-FEB-14</v>
      </c>
      <c r="T9" s="79" t="str">
        <v>TTB-MTD-MAR-14</v>
      </c>
      <c r="U9" s="79" t="str">
        <v>TTB-MTD-APR-14</v>
      </c>
      <c r="V9" s="79" t="str">
        <v>TTB-MTD-MAY-14</v>
      </c>
      <c r="W9" s="79" t="str">
        <v>TTB-MTD-JUN-14</v>
      </c>
      <c r="X9" s="79" t="str">
        <v>TTB-MTD-JUL-14</v>
      </c>
      <c r="Y9" s="79" t="str">
        <v>TTB-MTD-AUG-14</v>
      </c>
      <c r="Z9" s="79" t="str">
        <v>TTB-MTD-SEP-14</v>
      </c>
      <c r="AA9" s="79" t="str">
        <v>TTB-MTD-OCT-14</v>
      </c>
      <c r="AB9" s="79" t="str">
        <v>TTB-MTD-NOV-14</v>
      </c>
      <c r="AC9" s="79" t="str">
        <v>TTB-MTD-DEC-14</v>
      </c>
      <c r="AD9" s="79" t="str">
        <v>TTB-MTD-JAN-15</v>
      </c>
      <c r="AE9" t="str">
        <v>TTB-YTD-FEB-15</v>
      </c>
      <c r="AF9" t="str">
        <v>TTB-YTD-MAR-15</v>
      </c>
      <c r="AG9" t="str">
        <v>TTB-YTD-APR-15</v>
      </c>
      <c r="AH9" t="str">
        <v>TTB-YTD-MAY-15</v>
      </c>
      <c r="AI9" t="str">
        <v>TTB-YTD-JUN-15</v>
      </c>
      <c r="AJ9" t="str">
        <v>TTB-YTD-JUL-15</v>
      </c>
      <c r="AK9" t="str">
        <v>TTB-YTD-AUG-15</v>
      </c>
      <c r="AL9" t="str">
        <v>TTB-YTD-SEP-15</v>
      </c>
      <c r="AM9" t="str">
        <v>TTB-YTD-OCT-15</v>
      </c>
      <c r="AN9" t="str">
        <v>TTB-YTD-NOV-15</v>
      </c>
      <c r="AO9" t="str">
        <v>TTB-YTD-DEC-15</v>
      </c>
      <c r="AP9" t="str">
        <v>TTB-YTD-JAN-16</v>
      </c>
      <c r="AQ9" t="str">
        <v>TTB-MTD-FEB-15</v>
      </c>
      <c r="AR9" t="str">
        <v>TTB-MTD-MAR-15</v>
      </c>
      <c r="AS9" t="str">
        <v>TTB-MTD-APR-15</v>
      </c>
      <c r="AT9" t="str">
        <v>TTB-MTD-MAY-15</v>
      </c>
      <c r="AU9" t="str">
        <v>TTB-MTD-JUN-15</v>
      </c>
      <c r="AV9" t="str">
        <v>TTB-MTD-JUL-15</v>
      </c>
      <c r="AW9" t="str">
        <v>TTB-MTD-AUG-15</v>
      </c>
      <c r="AX9" t="str">
        <v>TTB-MTD-SEP-15</v>
      </c>
      <c r="AY9" t="str">
        <v>TTB-MTD-OCT-15</v>
      </c>
      <c r="AZ9" t="str">
        <v>TTB-MTD-NOV-15</v>
      </c>
      <c r="BA9" t="str">
        <v>TTB-MTD-DEC-15</v>
      </c>
      <c r="BB9" t="str">
        <v>TTB-MTD-JAN-16</v>
      </c>
      <c r="BC9" t="str">
        <v>TTB-EOY-JAN-15</v>
      </c>
      <c r="BD9" t="str">
        <v>TTB-EOY-JAN-14</v>
      </c>
      <c r="BE9" s="79" t="str">
        <v>TTB-EOY-JAN-16</v>
      </c>
      <c r="BF9" s="79" t="str">
        <v>TTB-YTD-FEB-16</v>
      </c>
      <c r="BG9" s="79" t="str">
        <v>TTB-YTD-MAR-16</v>
      </c>
      <c r="BH9" s="79" t="str">
        <v>TTB-YTD-APR-16</v>
      </c>
      <c r="BI9" s="79" t="str">
        <v>TTB-YTD-MAY-16</v>
      </c>
      <c r="BJ9" s="79" t="str">
        <v>TTB-YTD-JUN-16</v>
      </c>
      <c r="BK9" s="79" t="str">
        <v>TTB-YTD-JUL-16</v>
      </c>
      <c r="BL9" s="79" t="str">
        <v>TTB-YTD-AUG-16</v>
      </c>
      <c r="BM9" s="79" t="str">
        <v>TTB-YTD-SEP-16</v>
      </c>
      <c r="BN9" s="79" t="str">
        <v>TTB-YTD-OCT-16</v>
      </c>
      <c r="BO9" s="79" t="str">
        <v>TTB-YTD-NOV-16</v>
      </c>
      <c r="BP9" s="79" t="str">
        <v>TTB-YTD-DEC-16</v>
      </c>
      <c r="BQ9" s="79" t="str">
        <v>TTB-YTD-JAN-17</v>
      </c>
      <c r="BR9" s="79" t="str">
        <v>TTB-MTD-FEB-16</v>
      </c>
      <c r="BS9" s="79" t="str">
        <v>TTB-MTD-MAR-16</v>
      </c>
      <c r="BT9" s="79" t="str">
        <v>TTB-MTD-APR-16</v>
      </c>
      <c r="BU9" s="79" t="str">
        <v>TTB-MTD-SEP-16</v>
      </c>
      <c r="BV9" s="79" t="str">
        <v>TTB-MTD-OCT-16</v>
      </c>
      <c r="BW9" s="79">
        <v>0</v>
      </c>
      <c r="BX9" s="79">
        <v>0</v>
      </c>
      <c r="BY9" s="79">
        <v>0</v>
      </c>
      <c r="BZ9" s="79">
        <v>0</v>
      </c>
      <c r="CA9" s="79">
        <v>0</v>
      </c>
      <c r="CB9" s="79">
        <v>0</v>
      </c>
      <c r="CC9" s="79">
        <v>0</v>
      </c>
    </row>
    <row r="10" spans="2:81" x14ac:dyDescent="0.25">
      <c r="B10" s="84" t="s">
        <v>368</v>
      </c>
      <c r="C10" s="79">
        <v>0</v>
      </c>
      <c r="D10" s="79">
        <v>0</v>
      </c>
      <c r="E10" s="79">
        <v>0</v>
      </c>
      <c r="F10" s="79">
        <v>0</v>
      </c>
      <c r="G10" s="79">
        <v>0</v>
      </c>
      <c r="H10" s="79">
        <v>0</v>
      </c>
      <c r="I10" s="79">
        <v>0</v>
      </c>
      <c r="J10" s="79">
        <v>0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0</v>
      </c>
      <c r="Q10" s="79">
        <v>0</v>
      </c>
      <c r="R10" s="79">
        <v>0</v>
      </c>
      <c r="S10" s="79">
        <v>0</v>
      </c>
      <c r="T10" s="79">
        <v>0</v>
      </c>
      <c r="U10" s="79">
        <v>0</v>
      </c>
      <c r="V10" s="79">
        <v>0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-99500.83</v>
      </c>
      <c r="BD10">
        <v>-99500.83</v>
      </c>
      <c r="BE10" s="79">
        <v>0</v>
      </c>
      <c r="BF10" s="79">
        <v>0</v>
      </c>
      <c r="BG10" s="79">
        <v>0</v>
      </c>
      <c r="BH10" s="79">
        <v>0</v>
      </c>
      <c r="BI10" s="79">
        <v>0</v>
      </c>
      <c r="BJ10" s="79">
        <v>0</v>
      </c>
      <c r="BK10" s="79">
        <v>0</v>
      </c>
      <c r="BL10" s="79">
        <v>0</v>
      </c>
      <c r="BM10" s="79">
        <v>0</v>
      </c>
      <c r="BN10" s="79">
        <v>0</v>
      </c>
      <c r="BO10" s="79">
        <v>0</v>
      </c>
      <c r="BP10" s="79">
        <v>0</v>
      </c>
      <c r="BQ10" s="79">
        <v>0</v>
      </c>
      <c r="BR10" s="79">
        <v>0</v>
      </c>
      <c r="BS10" s="79">
        <v>0</v>
      </c>
      <c r="BT10" s="79">
        <v>0</v>
      </c>
      <c r="BU10" s="79">
        <v>0</v>
      </c>
      <c r="BV10" s="79">
        <v>0</v>
      </c>
      <c r="BW10" s="79">
        <v>0</v>
      </c>
      <c r="BX10" s="79">
        <v>0</v>
      </c>
      <c r="BY10" s="79">
        <v>0</v>
      </c>
      <c r="BZ10" s="79">
        <v>0</v>
      </c>
      <c r="CA10" s="79">
        <v>0</v>
      </c>
      <c r="CB10" s="79">
        <v>0</v>
      </c>
      <c r="CC10" s="79">
        <v>0</v>
      </c>
    </row>
    <row r="11" spans="2:81" x14ac:dyDescent="0.25">
      <c r="B11" s="84" t="s">
        <v>218</v>
      </c>
      <c r="C11" s="79">
        <v>1800</v>
      </c>
      <c r="D11" s="79">
        <v>1800</v>
      </c>
      <c r="E11" s="79">
        <v>0</v>
      </c>
      <c r="F11" s="79">
        <v>0</v>
      </c>
      <c r="G11" s="79">
        <v>0</v>
      </c>
      <c r="H11" s="79">
        <v>0</v>
      </c>
      <c r="I11" s="79">
        <v>0</v>
      </c>
      <c r="J11" s="79">
        <v>0</v>
      </c>
      <c r="K11" s="79">
        <v>0</v>
      </c>
      <c r="L11" s="79">
        <v>0</v>
      </c>
      <c r="M11" s="79">
        <v>0</v>
      </c>
      <c r="N11" s="79">
        <v>0</v>
      </c>
      <c r="O11" s="79">
        <v>0</v>
      </c>
      <c r="P11" s="79">
        <v>0</v>
      </c>
      <c r="Q11" s="79">
        <v>0</v>
      </c>
      <c r="R11" s="79">
        <v>1800</v>
      </c>
      <c r="S11" s="79">
        <v>0</v>
      </c>
      <c r="T11" s="79">
        <v>0</v>
      </c>
      <c r="U11" s="79">
        <v>0</v>
      </c>
      <c r="V11" s="79">
        <v>0</v>
      </c>
      <c r="W11" s="79">
        <v>0</v>
      </c>
      <c r="X11" s="79">
        <v>0</v>
      </c>
      <c r="Y11" s="79">
        <v>0</v>
      </c>
      <c r="Z11" s="79">
        <v>0</v>
      </c>
      <c r="AA11" s="79">
        <v>0</v>
      </c>
      <c r="AB11" s="79">
        <v>0</v>
      </c>
      <c r="AC11" s="79">
        <v>0</v>
      </c>
      <c r="AD11" s="79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99430.83</v>
      </c>
      <c r="BD11">
        <v>99430.83</v>
      </c>
      <c r="BE11" s="79">
        <v>0</v>
      </c>
      <c r="BF11" s="79">
        <v>0</v>
      </c>
      <c r="BG11" s="79">
        <v>0</v>
      </c>
      <c r="BH11" s="79">
        <v>0</v>
      </c>
      <c r="BI11" s="79">
        <v>0</v>
      </c>
      <c r="BJ11" s="79">
        <v>0</v>
      </c>
      <c r="BK11" s="79">
        <v>0</v>
      </c>
      <c r="BL11" s="79">
        <v>0</v>
      </c>
      <c r="BM11" s="79">
        <v>0</v>
      </c>
      <c r="BN11" s="79">
        <v>0</v>
      </c>
      <c r="BO11" s="79">
        <v>0</v>
      </c>
      <c r="BP11" s="79">
        <v>0</v>
      </c>
      <c r="BQ11" s="79">
        <v>0</v>
      </c>
      <c r="BR11" s="79">
        <v>0</v>
      </c>
      <c r="BS11" s="79">
        <v>0</v>
      </c>
      <c r="BT11" s="79">
        <v>0</v>
      </c>
      <c r="BU11" s="79">
        <v>0</v>
      </c>
      <c r="BV11" s="79">
        <v>0</v>
      </c>
      <c r="BW11" s="79">
        <v>0</v>
      </c>
      <c r="BX11" s="79">
        <v>0</v>
      </c>
      <c r="BY11" s="79">
        <v>0</v>
      </c>
      <c r="BZ11" s="79">
        <v>0</v>
      </c>
      <c r="CA11" s="79">
        <v>0</v>
      </c>
      <c r="CB11" s="79">
        <v>0</v>
      </c>
      <c r="CC11" s="79">
        <v>0</v>
      </c>
    </row>
    <row r="12" spans="2:81" x14ac:dyDescent="0.25">
      <c r="B12" s="84" t="s">
        <v>219</v>
      </c>
      <c r="C12" s="79">
        <v>-7602</v>
      </c>
      <c r="D12" s="79">
        <v>-3578.8</v>
      </c>
      <c r="E12" s="79">
        <v>0</v>
      </c>
      <c r="F12" s="79">
        <v>0</v>
      </c>
      <c r="G12" s="79">
        <v>-1000.37</v>
      </c>
      <c r="H12" s="79">
        <v>-1000.37</v>
      </c>
      <c r="I12" s="79">
        <v>-1000.37</v>
      </c>
      <c r="J12" s="79">
        <v>-3512.63</v>
      </c>
      <c r="K12" s="79">
        <v>-3512.63</v>
      </c>
      <c r="L12" s="79">
        <v>-4023.2</v>
      </c>
      <c r="M12" s="79">
        <v>-4023.2</v>
      </c>
      <c r="N12" s="79">
        <v>-4023.2</v>
      </c>
      <c r="O12" s="79">
        <v>-4023.2</v>
      </c>
      <c r="P12" s="79">
        <v>-4023.2</v>
      </c>
      <c r="Q12" s="79">
        <v>0</v>
      </c>
      <c r="R12" s="79">
        <v>0</v>
      </c>
      <c r="S12" s="79">
        <v>0</v>
      </c>
      <c r="T12" s="79">
        <v>0</v>
      </c>
      <c r="U12" s="79">
        <v>-1000.37</v>
      </c>
      <c r="V12" s="79">
        <v>0</v>
      </c>
      <c r="W12" s="79">
        <v>0</v>
      </c>
      <c r="X12" s="79">
        <v>-2512.2600000000002</v>
      </c>
      <c r="Y12" s="79">
        <v>0</v>
      </c>
      <c r="Z12" s="79">
        <v>-510.57</v>
      </c>
      <c r="AA12" s="79">
        <v>0</v>
      </c>
      <c r="AB12" s="79">
        <v>0</v>
      </c>
      <c r="AC12" s="79">
        <v>0</v>
      </c>
      <c r="AD12" s="79">
        <v>0</v>
      </c>
      <c r="AE12">
        <v>0</v>
      </c>
      <c r="AF12">
        <v>-687.54</v>
      </c>
      <c r="AG12">
        <v>-687.54</v>
      </c>
      <c r="AH12">
        <v>-687.54</v>
      </c>
      <c r="AI12">
        <v>-687.54</v>
      </c>
      <c r="AJ12">
        <v>-687.54</v>
      </c>
      <c r="AK12">
        <v>-687.54</v>
      </c>
      <c r="AL12">
        <v>-687.54</v>
      </c>
      <c r="AM12">
        <v>-687.54</v>
      </c>
      <c r="AN12">
        <v>-687.54</v>
      </c>
      <c r="AO12">
        <v>-687.54</v>
      </c>
      <c r="AP12">
        <v>-687.54</v>
      </c>
      <c r="AQ12">
        <v>0</v>
      </c>
      <c r="AR12">
        <v>-687.54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-82238.2</v>
      </c>
      <c r="BD12">
        <v>-78215</v>
      </c>
      <c r="BE12" s="79">
        <v>0</v>
      </c>
      <c r="BF12" s="79">
        <v>0</v>
      </c>
      <c r="BG12" s="79">
        <v>0</v>
      </c>
      <c r="BH12" s="79">
        <v>0</v>
      </c>
      <c r="BI12" s="79">
        <v>0</v>
      </c>
      <c r="BJ12" s="79">
        <v>0</v>
      </c>
      <c r="BK12" s="79">
        <v>0</v>
      </c>
      <c r="BL12" s="79">
        <v>0</v>
      </c>
      <c r="BM12" s="79">
        <v>0</v>
      </c>
      <c r="BN12" s="79">
        <v>0</v>
      </c>
      <c r="BO12" s="79">
        <v>0</v>
      </c>
      <c r="BP12" s="79">
        <v>0</v>
      </c>
      <c r="BQ12" s="79">
        <v>0</v>
      </c>
      <c r="BR12" s="79">
        <v>0</v>
      </c>
      <c r="BS12" s="79">
        <v>0</v>
      </c>
      <c r="BT12" s="79">
        <v>0</v>
      </c>
      <c r="BU12" s="79">
        <v>0</v>
      </c>
      <c r="BV12" s="79">
        <v>0</v>
      </c>
      <c r="BW12" s="79">
        <v>0</v>
      </c>
      <c r="BX12" s="79">
        <v>0</v>
      </c>
      <c r="BY12" s="79">
        <v>0</v>
      </c>
      <c r="BZ12" s="79">
        <v>0</v>
      </c>
      <c r="CA12" s="79">
        <v>0</v>
      </c>
      <c r="CB12" s="79">
        <v>0</v>
      </c>
      <c r="CC12" s="79">
        <v>0</v>
      </c>
    </row>
    <row r="13" spans="2:81" x14ac:dyDescent="0.25">
      <c r="B13" s="84" t="s">
        <v>220</v>
      </c>
      <c r="C13" s="79">
        <v>1825</v>
      </c>
      <c r="D13" s="79">
        <v>1825</v>
      </c>
      <c r="E13" s="79">
        <v>0</v>
      </c>
      <c r="F13" s="79">
        <v>0</v>
      </c>
      <c r="G13" s="79">
        <v>0</v>
      </c>
      <c r="H13" s="79">
        <v>0</v>
      </c>
      <c r="I13" s="7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2584.1999999999998</v>
      </c>
      <c r="Q13" s="79">
        <v>0</v>
      </c>
      <c r="R13" s="79">
        <v>1825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2584.1999999999998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76699.199999999997</v>
      </c>
      <c r="BD13">
        <v>74115</v>
      </c>
      <c r="BE13" s="79">
        <v>0</v>
      </c>
      <c r="BF13" s="79">
        <v>0</v>
      </c>
      <c r="BG13" s="79">
        <v>0</v>
      </c>
      <c r="BH13" s="79">
        <v>0</v>
      </c>
      <c r="BI13" s="79">
        <v>0</v>
      </c>
      <c r="BJ13" s="79">
        <v>0</v>
      </c>
      <c r="BK13" s="79">
        <v>0</v>
      </c>
      <c r="BL13" s="79">
        <v>0</v>
      </c>
      <c r="BM13" s="79">
        <v>0</v>
      </c>
      <c r="BN13" s="79">
        <v>0</v>
      </c>
      <c r="BO13" s="79">
        <v>0</v>
      </c>
      <c r="BP13" s="79">
        <v>0</v>
      </c>
      <c r="BQ13" s="79">
        <v>0</v>
      </c>
      <c r="BR13" s="79">
        <v>0</v>
      </c>
      <c r="BS13" s="79">
        <v>0</v>
      </c>
      <c r="BT13" s="79">
        <v>0</v>
      </c>
      <c r="BU13" s="79">
        <v>0</v>
      </c>
      <c r="BV13" s="79">
        <v>0</v>
      </c>
      <c r="BW13" s="79">
        <v>0</v>
      </c>
      <c r="BX13" s="79">
        <v>0</v>
      </c>
      <c r="BY13" s="79">
        <v>0</v>
      </c>
      <c r="BZ13" s="79">
        <v>0</v>
      </c>
      <c r="CA13" s="79">
        <v>0</v>
      </c>
      <c r="CB13" s="79">
        <v>0</v>
      </c>
      <c r="CC13" s="79">
        <v>0</v>
      </c>
    </row>
    <row r="14" spans="2:81" x14ac:dyDescent="0.25">
      <c r="B14" s="84" t="s">
        <v>221</v>
      </c>
      <c r="C14" s="79">
        <v>-5753.33</v>
      </c>
      <c r="D14" s="79">
        <v>0</v>
      </c>
      <c r="E14" s="79">
        <v>0</v>
      </c>
      <c r="F14" s="79">
        <v>0</v>
      </c>
      <c r="G14" s="79">
        <v>0</v>
      </c>
      <c r="H14" s="79">
        <v>0</v>
      </c>
      <c r="I14" s="79">
        <v>0</v>
      </c>
      <c r="J14" s="79">
        <v>0</v>
      </c>
      <c r="K14" s="79">
        <v>0</v>
      </c>
      <c r="L14" s="79">
        <v>0</v>
      </c>
      <c r="M14" s="79">
        <v>-5753.33</v>
      </c>
      <c r="N14" s="79">
        <v>-5753.33</v>
      </c>
      <c r="O14" s="79">
        <v>-5753.33</v>
      </c>
      <c r="P14" s="79">
        <v>8000.67</v>
      </c>
      <c r="Q14" s="79">
        <v>0</v>
      </c>
      <c r="R14" s="79">
        <v>0</v>
      </c>
      <c r="S14" s="79">
        <v>0</v>
      </c>
      <c r="T14" s="79">
        <v>0</v>
      </c>
      <c r="U14" s="79">
        <v>0</v>
      </c>
      <c r="V14" s="79">
        <v>0</v>
      </c>
      <c r="W14" s="79">
        <v>0</v>
      </c>
      <c r="X14" s="79">
        <v>0</v>
      </c>
      <c r="Y14" s="79">
        <v>0</v>
      </c>
      <c r="Z14" s="79">
        <v>0</v>
      </c>
      <c r="AA14" s="79">
        <v>-5753.33</v>
      </c>
      <c r="AB14" s="79">
        <v>0</v>
      </c>
      <c r="AC14" s="79">
        <v>0</v>
      </c>
      <c r="AD14" s="79">
        <v>13754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-35180.33</v>
      </c>
      <c r="BD14">
        <v>-43181</v>
      </c>
      <c r="BE14" s="79">
        <v>0</v>
      </c>
      <c r="BF14" s="79">
        <v>0</v>
      </c>
      <c r="BG14" s="79">
        <v>0</v>
      </c>
      <c r="BH14" s="79">
        <v>0</v>
      </c>
      <c r="BI14" s="79">
        <v>0</v>
      </c>
      <c r="BJ14" s="79">
        <v>0</v>
      </c>
      <c r="BK14" s="79">
        <v>0</v>
      </c>
      <c r="BL14" s="79">
        <v>0</v>
      </c>
      <c r="BM14" s="79">
        <v>0</v>
      </c>
      <c r="BN14" s="79">
        <v>0</v>
      </c>
      <c r="BO14" s="79">
        <v>0</v>
      </c>
      <c r="BP14" s="79">
        <v>0</v>
      </c>
      <c r="BQ14" s="79">
        <v>0</v>
      </c>
      <c r="BR14" s="79">
        <v>0</v>
      </c>
      <c r="BS14" s="79">
        <v>0</v>
      </c>
      <c r="BT14" s="79">
        <v>0</v>
      </c>
      <c r="BU14" s="79">
        <v>0</v>
      </c>
      <c r="BV14" s="79">
        <v>0</v>
      </c>
      <c r="BW14" s="79">
        <v>0</v>
      </c>
      <c r="BX14" s="79">
        <v>0</v>
      </c>
      <c r="BY14" s="79">
        <v>0</v>
      </c>
      <c r="BZ14" s="79">
        <v>0</v>
      </c>
      <c r="CA14" s="79">
        <v>0</v>
      </c>
      <c r="CB14" s="79">
        <v>0</v>
      </c>
      <c r="CC14" s="79">
        <v>0</v>
      </c>
    </row>
    <row r="15" spans="2:81" x14ac:dyDescent="0.25">
      <c r="B15" s="84" t="s">
        <v>222</v>
      </c>
      <c r="C15" s="79">
        <v>2400</v>
      </c>
      <c r="D15" s="79">
        <v>2400</v>
      </c>
      <c r="E15" s="79">
        <v>0</v>
      </c>
      <c r="F15" s="79">
        <v>0</v>
      </c>
      <c r="G15" s="79">
        <v>0</v>
      </c>
      <c r="H15" s="79">
        <v>0</v>
      </c>
      <c r="I15" s="79">
        <v>0</v>
      </c>
      <c r="J15" s="79">
        <v>0</v>
      </c>
      <c r="K15" s="79">
        <v>0</v>
      </c>
      <c r="L15" s="79">
        <v>0</v>
      </c>
      <c r="M15" s="79">
        <v>0</v>
      </c>
      <c r="N15" s="79">
        <v>0</v>
      </c>
      <c r="O15" s="79">
        <v>0</v>
      </c>
      <c r="P15" s="79">
        <v>-12314.67</v>
      </c>
      <c r="Q15" s="79">
        <v>0</v>
      </c>
      <c r="R15" s="79">
        <v>2400</v>
      </c>
      <c r="S15" s="79">
        <v>0</v>
      </c>
      <c r="T15" s="79">
        <v>0</v>
      </c>
      <c r="U15" s="79">
        <v>0</v>
      </c>
      <c r="V15" s="79">
        <v>0</v>
      </c>
      <c r="W15" s="79">
        <v>0</v>
      </c>
      <c r="X15" s="79">
        <v>0</v>
      </c>
      <c r="Y15" s="79">
        <v>0</v>
      </c>
      <c r="Z15" s="79">
        <v>0</v>
      </c>
      <c r="AA15" s="79">
        <v>0</v>
      </c>
      <c r="AB15" s="79">
        <v>0</v>
      </c>
      <c r="AC15" s="79">
        <v>0</v>
      </c>
      <c r="AD15" s="79">
        <v>-12314.67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30863.329999999998</v>
      </c>
      <c r="BD15">
        <v>43178</v>
      </c>
      <c r="BE15" s="79">
        <v>0</v>
      </c>
      <c r="BF15" s="79">
        <v>0</v>
      </c>
      <c r="BG15" s="79">
        <v>0</v>
      </c>
      <c r="BH15" s="79">
        <v>0</v>
      </c>
      <c r="BI15" s="79">
        <v>0</v>
      </c>
      <c r="BJ15" s="79">
        <v>0</v>
      </c>
      <c r="BK15" s="79">
        <v>0</v>
      </c>
      <c r="BL15" s="79">
        <v>0</v>
      </c>
      <c r="BM15" s="79">
        <v>0</v>
      </c>
      <c r="BN15" s="79">
        <v>0</v>
      </c>
      <c r="BO15" s="79">
        <v>0</v>
      </c>
      <c r="BP15" s="79">
        <v>0</v>
      </c>
      <c r="BQ15" s="79">
        <v>0</v>
      </c>
      <c r="BR15" s="79">
        <v>0</v>
      </c>
      <c r="BS15" s="79">
        <v>0</v>
      </c>
      <c r="BT15" s="79">
        <v>0</v>
      </c>
      <c r="BU15" s="79">
        <v>0</v>
      </c>
      <c r="BV15" s="79">
        <v>0</v>
      </c>
      <c r="BW15" s="79">
        <v>0</v>
      </c>
      <c r="BX15" s="79">
        <v>0</v>
      </c>
      <c r="BY15" s="79">
        <v>0</v>
      </c>
      <c r="BZ15" s="79">
        <v>0</v>
      </c>
      <c r="CA15" s="79">
        <v>0</v>
      </c>
      <c r="CB15" s="79">
        <v>0</v>
      </c>
      <c r="CC15" s="79">
        <v>0</v>
      </c>
    </row>
    <row r="16" spans="2:81" x14ac:dyDescent="0.25">
      <c r="B16" s="84" t="s">
        <v>119</v>
      </c>
      <c r="C16" s="79">
        <v>-126706.47</v>
      </c>
      <c r="D16" s="79">
        <v>13594.93</v>
      </c>
      <c r="E16" s="79">
        <v>47988.97</v>
      </c>
      <c r="F16" s="79">
        <v>77457.69</v>
      </c>
      <c r="G16" s="79">
        <v>-69266.759999999995</v>
      </c>
      <c r="H16" s="79">
        <v>-59095.34</v>
      </c>
      <c r="I16" s="79">
        <v>25619.85</v>
      </c>
      <c r="J16" s="79">
        <v>-67244.429999999993</v>
      </c>
      <c r="K16" s="79">
        <v>-47395.53</v>
      </c>
      <c r="L16" s="79">
        <v>-30493.9</v>
      </c>
      <c r="M16" s="79">
        <v>-143098.35999999999</v>
      </c>
      <c r="N16" s="79">
        <v>-141536.18</v>
      </c>
      <c r="O16" s="79">
        <v>-140301.4</v>
      </c>
      <c r="P16" s="79">
        <v>-142246.14000000001</v>
      </c>
      <c r="Q16" s="79">
        <v>28734.43</v>
      </c>
      <c r="R16" s="79">
        <v>-29545.69</v>
      </c>
      <c r="S16" s="79">
        <v>47988.97</v>
      </c>
      <c r="T16" s="79">
        <v>29468.720000000001</v>
      </c>
      <c r="U16" s="79">
        <v>-146724.45000000001</v>
      </c>
      <c r="V16" s="79">
        <v>10171.42</v>
      </c>
      <c r="W16" s="79">
        <v>84715.19</v>
      </c>
      <c r="X16" s="79">
        <v>-92864.28</v>
      </c>
      <c r="Y16" s="79">
        <v>19848.900000000001</v>
      </c>
      <c r="Z16" s="79">
        <v>16901.63</v>
      </c>
      <c r="AA16" s="79">
        <v>-112604.46</v>
      </c>
      <c r="AB16" s="79">
        <v>1562.18</v>
      </c>
      <c r="AC16" s="79">
        <v>1234.78</v>
      </c>
      <c r="AD16" s="79">
        <v>-1944.74</v>
      </c>
      <c r="AE16">
        <v>-25646.21</v>
      </c>
      <c r="AF16">
        <v>-33540.870000000003</v>
      </c>
      <c r="AG16">
        <v>16782.64</v>
      </c>
      <c r="AH16">
        <v>26472.880000000001</v>
      </c>
      <c r="AI16">
        <v>8007.5</v>
      </c>
      <c r="AJ16">
        <v>26661.54</v>
      </c>
      <c r="AK16">
        <v>45186.68</v>
      </c>
      <c r="AL16">
        <v>36547.42</v>
      </c>
      <c r="AM16">
        <v>34415.4</v>
      </c>
      <c r="AN16">
        <v>65601.31</v>
      </c>
      <c r="AO16">
        <v>127609.63</v>
      </c>
      <c r="AP16">
        <v>99149.06</v>
      </c>
      <c r="AQ16">
        <v>-25646.21</v>
      </c>
      <c r="AR16">
        <v>-7894.66</v>
      </c>
      <c r="AS16">
        <v>50323.51</v>
      </c>
      <c r="AT16">
        <v>9690.24</v>
      </c>
      <c r="AU16">
        <v>-18465.38</v>
      </c>
      <c r="AV16">
        <v>18654.04</v>
      </c>
      <c r="AW16">
        <v>18525.14</v>
      </c>
      <c r="AX16">
        <v>-8639.26</v>
      </c>
      <c r="AY16">
        <v>-2132.02</v>
      </c>
      <c r="AZ16">
        <v>31185.91</v>
      </c>
      <c r="BA16">
        <v>62008.32</v>
      </c>
      <c r="BB16">
        <v>-28460.57</v>
      </c>
      <c r="BC16">
        <v>-369083.38</v>
      </c>
      <c r="BD16">
        <v>-226837.24</v>
      </c>
      <c r="BE16" s="79">
        <v>0</v>
      </c>
      <c r="BF16" s="79">
        <v>37178.410000000003</v>
      </c>
      <c r="BG16" s="79">
        <v>36206.81</v>
      </c>
      <c r="BH16" s="79">
        <v>36206.81</v>
      </c>
      <c r="BI16" s="79">
        <v>36206.81</v>
      </c>
      <c r="BJ16" s="79">
        <v>36206.81</v>
      </c>
      <c r="BK16" s="79">
        <v>36206.81</v>
      </c>
      <c r="BL16" s="79">
        <v>36206.81</v>
      </c>
      <c r="BM16" s="79">
        <v>36206.81</v>
      </c>
      <c r="BN16" s="79">
        <v>36206.81</v>
      </c>
      <c r="BO16" s="79">
        <v>36206.81</v>
      </c>
      <c r="BP16" s="79">
        <v>36206.81</v>
      </c>
      <c r="BQ16" s="79">
        <v>36206.81</v>
      </c>
      <c r="BR16" s="79">
        <v>-10338.9</v>
      </c>
      <c r="BS16" s="79">
        <v>-971.6</v>
      </c>
      <c r="BT16" s="79">
        <v>0</v>
      </c>
      <c r="BU16" s="79">
        <v>0</v>
      </c>
      <c r="BV16" s="79">
        <v>0</v>
      </c>
      <c r="BW16" s="79">
        <v>0</v>
      </c>
      <c r="BX16" s="79">
        <v>0</v>
      </c>
      <c r="BY16" s="79">
        <v>0</v>
      </c>
      <c r="BZ16" s="79">
        <v>0</v>
      </c>
      <c r="CA16" s="79">
        <v>0</v>
      </c>
      <c r="CB16" s="79">
        <v>0</v>
      </c>
      <c r="CC16" s="79">
        <v>0</v>
      </c>
    </row>
    <row r="17" spans="2:81" s="79" customFormat="1" x14ac:dyDescent="0.25">
      <c r="B17" s="84">
        <v>1004</v>
      </c>
      <c r="C17" s="79">
        <v>0</v>
      </c>
      <c r="D17" s="79">
        <v>0</v>
      </c>
      <c r="E17" s="79">
        <v>0</v>
      </c>
      <c r="F17" s="79">
        <v>0</v>
      </c>
      <c r="G17" s="79">
        <v>0</v>
      </c>
      <c r="H17" s="79">
        <v>0</v>
      </c>
      <c r="I17" s="79">
        <v>0</v>
      </c>
      <c r="J17" s="79">
        <v>0</v>
      </c>
      <c r="K17" s="79">
        <v>0</v>
      </c>
      <c r="L17" s="79">
        <v>0</v>
      </c>
      <c r="M17" s="79">
        <v>0</v>
      </c>
      <c r="N17" s="79">
        <v>0</v>
      </c>
      <c r="O17" s="79">
        <v>0</v>
      </c>
      <c r="P17" s="79">
        <v>0</v>
      </c>
      <c r="Q17" s="79">
        <v>0</v>
      </c>
      <c r="R17" s="79">
        <v>0</v>
      </c>
      <c r="S17" s="79">
        <v>0</v>
      </c>
      <c r="T17" s="79">
        <v>0</v>
      </c>
      <c r="U17" s="79">
        <v>0</v>
      </c>
      <c r="V17" s="79">
        <v>0</v>
      </c>
      <c r="W17" s="79">
        <v>0</v>
      </c>
      <c r="X17" s="79">
        <v>0</v>
      </c>
      <c r="Y17" s="79">
        <v>0</v>
      </c>
      <c r="Z17" s="79">
        <v>0</v>
      </c>
      <c r="AA17" s="79">
        <v>0</v>
      </c>
      <c r="AB17" s="79">
        <v>0</v>
      </c>
      <c r="AC17" s="79">
        <v>0</v>
      </c>
      <c r="AD17" s="79">
        <v>0</v>
      </c>
      <c r="AE17" s="79">
        <v>0</v>
      </c>
      <c r="AF17" s="79">
        <v>0</v>
      </c>
      <c r="AG17" s="79">
        <v>0</v>
      </c>
      <c r="AH17" s="79">
        <v>0</v>
      </c>
      <c r="AI17" s="79">
        <v>0</v>
      </c>
      <c r="AJ17" s="79">
        <v>0</v>
      </c>
      <c r="AK17" s="79">
        <v>0</v>
      </c>
      <c r="AL17" s="79">
        <v>0</v>
      </c>
      <c r="AM17" s="79">
        <v>0</v>
      </c>
      <c r="AN17" s="79">
        <v>0</v>
      </c>
      <c r="AO17" s="79">
        <v>0</v>
      </c>
      <c r="AP17" s="79">
        <v>0</v>
      </c>
      <c r="AQ17" s="79">
        <v>0</v>
      </c>
      <c r="AR17" s="79">
        <v>0</v>
      </c>
      <c r="AS17" s="79">
        <v>0</v>
      </c>
      <c r="AT17" s="79">
        <v>0</v>
      </c>
      <c r="AU17" s="79">
        <v>0</v>
      </c>
      <c r="AV17" s="79">
        <v>0</v>
      </c>
      <c r="AW17" s="79">
        <v>0</v>
      </c>
      <c r="AX17" s="79">
        <v>0</v>
      </c>
      <c r="AY17" s="79">
        <v>0</v>
      </c>
      <c r="AZ17" s="79">
        <v>0</v>
      </c>
      <c r="BA17" s="79">
        <v>0</v>
      </c>
      <c r="BB17" s="79">
        <v>0</v>
      </c>
      <c r="BC17" s="79">
        <v>0</v>
      </c>
      <c r="BD17" s="79">
        <v>0</v>
      </c>
      <c r="BE17" s="79">
        <v>0</v>
      </c>
      <c r="BF17" s="79">
        <v>0</v>
      </c>
      <c r="BG17" s="79">
        <v>0</v>
      </c>
      <c r="BH17" s="79">
        <v>0</v>
      </c>
      <c r="BI17" s="79">
        <v>0</v>
      </c>
      <c r="BJ17" s="79">
        <v>0</v>
      </c>
      <c r="BK17" s="79">
        <v>0</v>
      </c>
      <c r="BL17" s="79">
        <v>0</v>
      </c>
      <c r="BM17" s="79">
        <v>0</v>
      </c>
      <c r="BN17" s="79">
        <v>0</v>
      </c>
      <c r="BO17" s="79">
        <v>0</v>
      </c>
      <c r="BP17" s="79">
        <v>0</v>
      </c>
      <c r="BQ17" s="79">
        <v>0</v>
      </c>
      <c r="BR17" s="79">
        <v>0</v>
      </c>
      <c r="BS17" s="79">
        <v>0</v>
      </c>
      <c r="BT17" s="79">
        <v>0</v>
      </c>
      <c r="BU17" s="79">
        <v>0</v>
      </c>
      <c r="BV17" s="79">
        <v>0</v>
      </c>
      <c r="BW17" s="79">
        <v>0</v>
      </c>
      <c r="BX17" s="79">
        <v>0</v>
      </c>
      <c r="BY17" s="79">
        <v>0</v>
      </c>
      <c r="BZ17" s="79">
        <v>0</v>
      </c>
      <c r="CA17" s="79">
        <v>0</v>
      </c>
      <c r="CB17" s="79">
        <v>0</v>
      </c>
      <c r="CC17" s="79">
        <v>0</v>
      </c>
    </row>
    <row r="18" spans="2:81" x14ac:dyDescent="0.25">
      <c r="B18" s="84" t="s">
        <v>118</v>
      </c>
      <c r="C18" s="79">
        <v>-4336.7</v>
      </c>
      <c r="D18" s="79">
        <v>-151449.28</v>
      </c>
      <c r="E18" s="79">
        <v>83322.789999999994</v>
      </c>
      <c r="F18" s="79">
        <v>276915.51</v>
      </c>
      <c r="G18" s="79">
        <v>306439.57</v>
      </c>
      <c r="H18" s="79">
        <v>303731.38</v>
      </c>
      <c r="I18" s="79">
        <v>211723.89</v>
      </c>
      <c r="J18" s="79">
        <v>157729.84</v>
      </c>
      <c r="K18" s="79">
        <v>187152.36</v>
      </c>
      <c r="L18" s="79">
        <v>132894.65</v>
      </c>
      <c r="M18" s="79">
        <v>98674.94</v>
      </c>
      <c r="N18" s="79">
        <v>202294.81</v>
      </c>
      <c r="O18" s="79">
        <v>147112.57999999999</v>
      </c>
      <c r="P18" s="79">
        <v>173802.34</v>
      </c>
      <c r="Q18" s="79">
        <v>-5444.95</v>
      </c>
      <c r="R18" s="79">
        <v>-143178.78</v>
      </c>
      <c r="S18" s="79">
        <v>83322.789999999994</v>
      </c>
      <c r="T18" s="79">
        <v>193592.72</v>
      </c>
      <c r="U18" s="79">
        <v>29524.06</v>
      </c>
      <c r="V18" s="79">
        <v>-2708.19</v>
      </c>
      <c r="W18" s="79">
        <v>-92007.49</v>
      </c>
      <c r="X18" s="79">
        <v>-53994.05</v>
      </c>
      <c r="Y18" s="79">
        <v>29422.52</v>
      </c>
      <c r="Z18" s="79">
        <v>-54257.71</v>
      </c>
      <c r="AA18" s="79">
        <v>-34219.71</v>
      </c>
      <c r="AB18" s="79">
        <v>103619.87</v>
      </c>
      <c r="AC18" s="79">
        <v>-55182.23</v>
      </c>
      <c r="AD18" s="79">
        <v>26689.759999999998</v>
      </c>
      <c r="AE18">
        <v>-60958.94</v>
      </c>
      <c r="AF18">
        <v>26955.79</v>
      </c>
      <c r="AG18">
        <v>95867.88</v>
      </c>
      <c r="AH18">
        <v>50291.360000000001</v>
      </c>
      <c r="AI18">
        <v>86063</v>
      </c>
      <c r="AJ18">
        <v>37771.33</v>
      </c>
      <c r="AK18">
        <v>-24450.1</v>
      </c>
      <c r="AL18">
        <v>37268.36</v>
      </c>
      <c r="AM18">
        <v>173481.23</v>
      </c>
      <c r="AN18">
        <v>97197.759999999995</v>
      </c>
      <c r="AO18">
        <v>26437.24</v>
      </c>
      <c r="AP18">
        <v>105008.08</v>
      </c>
      <c r="AQ18">
        <v>-60958.94</v>
      </c>
      <c r="AR18">
        <v>87914.73</v>
      </c>
      <c r="AS18">
        <v>68912.09</v>
      </c>
      <c r="AT18">
        <v>-45576.52</v>
      </c>
      <c r="AU18">
        <v>35771.64</v>
      </c>
      <c r="AV18">
        <v>-48291.67</v>
      </c>
      <c r="AW18">
        <v>-62221.43</v>
      </c>
      <c r="AX18">
        <v>61718.46</v>
      </c>
      <c r="AY18">
        <v>136212.87</v>
      </c>
      <c r="AZ18">
        <v>-76283.47</v>
      </c>
      <c r="BA18">
        <v>-70760.52</v>
      </c>
      <c r="BB18">
        <v>78570.84</v>
      </c>
      <c r="BC18">
        <v>-299624.41000000003</v>
      </c>
      <c r="BD18">
        <v>-473419.89</v>
      </c>
      <c r="BE18" s="79">
        <v>0</v>
      </c>
      <c r="BF18" s="79">
        <v>-12371.83</v>
      </c>
      <c r="BG18" s="79">
        <v>-3956.62</v>
      </c>
      <c r="BH18" s="79">
        <v>-3956.62</v>
      </c>
      <c r="BI18" s="79">
        <v>-3956.62</v>
      </c>
      <c r="BJ18" s="79">
        <v>-3956.62</v>
      </c>
      <c r="BK18" s="79">
        <v>-3956.62</v>
      </c>
      <c r="BL18" s="79">
        <v>-3956.62</v>
      </c>
      <c r="BM18" s="79">
        <v>-3956.62</v>
      </c>
      <c r="BN18" s="79">
        <v>-3956.62</v>
      </c>
      <c r="BO18" s="79">
        <v>-3956.62</v>
      </c>
      <c r="BP18" s="79">
        <v>-3956.62</v>
      </c>
      <c r="BQ18" s="79">
        <v>-3956.62</v>
      </c>
      <c r="BR18" s="79">
        <v>-101075.48</v>
      </c>
      <c r="BS18" s="79">
        <v>-68355.899999999994</v>
      </c>
      <c r="BT18" s="79">
        <v>0</v>
      </c>
      <c r="BU18" s="79">
        <v>0</v>
      </c>
      <c r="BV18" s="79">
        <v>0</v>
      </c>
      <c r="BW18" s="79">
        <v>0</v>
      </c>
      <c r="BX18" s="79">
        <v>0</v>
      </c>
      <c r="BY18" s="79">
        <v>0</v>
      </c>
      <c r="BZ18" s="79">
        <v>0</v>
      </c>
      <c r="CA18" s="79">
        <v>0</v>
      </c>
      <c r="CB18" s="79">
        <v>0</v>
      </c>
      <c r="CC18" s="79">
        <v>0</v>
      </c>
    </row>
    <row r="19" spans="2:81" x14ac:dyDescent="0.25">
      <c r="B19" s="84">
        <v>1101</v>
      </c>
      <c r="C19" s="79">
        <v>0</v>
      </c>
      <c r="D19" s="79">
        <v>0</v>
      </c>
      <c r="E19" s="79">
        <v>0</v>
      </c>
      <c r="F19" s="79">
        <v>0</v>
      </c>
      <c r="G19" s="79">
        <v>0</v>
      </c>
      <c r="H19" s="79">
        <v>0</v>
      </c>
      <c r="I19" s="79">
        <v>0</v>
      </c>
      <c r="J19" s="79">
        <v>0</v>
      </c>
      <c r="K19" s="79">
        <v>0</v>
      </c>
      <c r="L19" s="79">
        <v>0</v>
      </c>
      <c r="M19" s="79">
        <v>0</v>
      </c>
      <c r="N19" s="79">
        <v>0</v>
      </c>
      <c r="O19" s="79">
        <v>0</v>
      </c>
      <c r="P19" s="79">
        <v>0</v>
      </c>
      <c r="Q19" s="79">
        <v>0</v>
      </c>
      <c r="R19" s="79">
        <v>0</v>
      </c>
      <c r="S19" s="79">
        <v>0</v>
      </c>
      <c r="T19" s="79">
        <v>0</v>
      </c>
      <c r="U19" s="79">
        <v>0</v>
      </c>
      <c r="V19" s="79">
        <v>0</v>
      </c>
      <c r="W19" s="79">
        <v>0</v>
      </c>
      <c r="X19" s="79">
        <v>0</v>
      </c>
      <c r="Y19" s="79">
        <v>0</v>
      </c>
      <c r="Z19" s="79">
        <v>0</v>
      </c>
      <c r="AA19" s="79">
        <v>0</v>
      </c>
      <c r="AB19" s="79">
        <v>0</v>
      </c>
      <c r="AC19" s="79">
        <v>0</v>
      </c>
      <c r="AD19" s="7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-3839.25</v>
      </c>
      <c r="BD19">
        <v>-3839.25</v>
      </c>
      <c r="BE19" s="79">
        <v>0</v>
      </c>
      <c r="BF19" s="79">
        <v>0</v>
      </c>
      <c r="BG19" s="79">
        <v>0</v>
      </c>
      <c r="BH19" s="79">
        <v>0</v>
      </c>
      <c r="BI19" s="79">
        <v>0</v>
      </c>
      <c r="BJ19" s="79">
        <v>0</v>
      </c>
      <c r="BK19" s="79">
        <v>0</v>
      </c>
      <c r="BL19" s="79">
        <v>0</v>
      </c>
      <c r="BM19" s="79">
        <v>0</v>
      </c>
      <c r="BN19" s="79">
        <v>0</v>
      </c>
      <c r="BO19" s="79">
        <v>0</v>
      </c>
      <c r="BP19" s="79">
        <v>0</v>
      </c>
      <c r="BQ19" s="79">
        <v>0</v>
      </c>
      <c r="BR19" s="79">
        <v>0</v>
      </c>
      <c r="BS19" s="79">
        <v>0</v>
      </c>
      <c r="BT19" s="79">
        <v>0</v>
      </c>
      <c r="BU19" s="79">
        <v>0</v>
      </c>
      <c r="BV19" s="79">
        <v>0</v>
      </c>
      <c r="BW19" s="79">
        <v>0</v>
      </c>
      <c r="BX19" s="79">
        <v>0</v>
      </c>
      <c r="BY19" s="79">
        <v>0</v>
      </c>
      <c r="BZ19" s="79">
        <v>0</v>
      </c>
      <c r="CA19" s="79">
        <v>0</v>
      </c>
      <c r="CB19" s="79">
        <v>0</v>
      </c>
      <c r="CC19" s="79">
        <v>0</v>
      </c>
    </row>
    <row r="20" spans="2:81" x14ac:dyDescent="0.25">
      <c r="B20" s="84" t="s">
        <v>282</v>
      </c>
      <c r="C20" s="79">
        <v>0</v>
      </c>
      <c r="D20" s="79">
        <v>0</v>
      </c>
      <c r="E20" s="79">
        <v>0</v>
      </c>
      <c r="F20" s="79">
        <v>0</v>
      </c>
      <c r="G20" s="79">
        <v>0</v>
      </c>
      <c r="H20" s="79">
        <v>0</v>
      </c>
      <c r="I20" s="79">
        <v>0</v>
      </c>
      <c r="J20" s="79">
        <v>0</v>
      </c>
      <c r="K20" s="79">
        <v>0</v>
      </c>
      <c r="L20" s="79">
        <v>0</v>
      </c>
      <c r="M20" s="79">
        <v>0</v>
      </c>
      <c r="N20" s="79">
        <v>0</v>
      </c>
      <c r="O20" s="79">
        <v>0</v>
      </c>
      <c r="P20" s="79">
        <v>0</v>
      </c>
      <c r="Q20" s="79">
        <v>0</v>
      </c>
      <c r="R20" s="79">
        <v>0</v>
      </c>
      <c r="S20" s="79">
        <v>0</v>
      </c>
      <c r="T20" s="79">
        <v>0</v>
      </c>
      <c r="U20" s="79">
        <v>0</v>
      </c>
      <c r="V20" s="79">
        <v>0</v>
      </c>
      <c r="W20" s="79">
        <v>0</v>
      </c>
      <c r="X20" s="79">
        <v>0</v>
      </c>
      <c r="Y20" s="79">
        <v>0</v>
      </c>
      <c r="Z20" s="79">
        <v>0</v>
      </c>
      <c r="AA20" s="79">
        <v>0</v>
      </c>
      <c r="AB20" s="79">
        <v>0</v>
      </c>
      <c r="AC20" s="79">
        <v>0</v>
      </c>
      <c r="AD20" s="79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 s="79">
        <v>0</v>
      </c>
      <c r="BF20" s="79">
        <v>0</v>
      </c>
      <c r="BG20" s="79">
        <v>0</v>
      </c>
      <c r="BH20" s="79">
        <v>0</v>
      </c>
      <c r="BI20" s="79">
        <v>0</v>
      </c>
      <c r="BJ20" s="79">
        <v>0</v>
      </c>
      <c r="BK20" s="79">
        <v>0</v>
      </c>
      <c r="BL20" s="79">
        <v>0</v>
      </c>
      <c r="BM20" s="79">
        <v>0</v>
      </c>
      <c r="BN20" s="79">
        <v>0</v>
      </c>
      <c r="BO20" s="79">
        <v>0</v>
      </c>
      <c r="BP20" s="79">
        <v>0</v>
      </c>
      <c r="BQ20" s="79">
        <v>0</v>
      </c>
      <c r="BR20" s="79">
        <v>0</v>
      </c>
      <c r="BS20" s="79">
        <v>0</v>
      </c>
      <c r="BT20" s="79">
        <v>0</v>
      </c>
      <c r="BU20" s="79">
        <v>0</v>
      </c>
      <c r="BV20" s="79">
        <v>0</v>
      </c>
      <c r="BW20" s="79">
        <v>0</v>
      </c>
      <c r="BX20" s="79">
        <v>0</v>
      </c>
      <c r="BY20" s="79">
        <v>0</v>
      </c>
      <c r="BZ20" s="79">
        <v>0</v>
      </c>
      <c r="CA20" s="79">
        <v>0</v>
      </c>
      <c r="CB20" s="79">
        <v>0</v>
      </c>
      <c r="CC20" s="79">
        <v>0</v>
      </c>
    </row>
    <row r="21" spans="2:81" x14ac:dyDescent="0.25">
      <c r="B21" s="104" t="s">
        <v>319</v>
      </c>
      <c r="C21" s="79">
        <v>0</v>
      </c>
      <c r="D21" s="79">
        <v>0</v>
      </c>
      <c r="E21" s="79">
        <v>0</v>
      </c>
      <c r="F21" s="79">
        <v>0</v>
      </c>
      <c r="G21" s="79">
        <v>0</v>
      </c>
      <c r="H21" s="79">
        <v>0</v>
      </c>
      <c r="I21" s="79">
        <v>0</v>
      </c>
      <c r="J21" s="79">
        <v>0</v>
      </c>
      <c r="K21" s="79">
        <v>0</v>
      </c>
      <c r="L21" s="79">
        <v>0</v>
      </c>
      <c r="M21" s="79">
        <v>0</v>
      </c>
      <c r="N21" s="79">
        <v>0</v>
      </c>
      <c r="O21" s="79">
        <v>0</v>
      </c>
      <c r="P21" s="79">
        <v>0</v>
      </c>
      <c r="Q21" s="79">
        <v>0</v>
      </c>
      <c r="R21" s="79">
        <v>0</v>
      </c>
      <c r="S21" s="79">
        <v>0</v>
      </c>
      <c r="T21" s="79">
        <v>0</v>
      </c>
      <c r="U21" s="79">
        <v>0</v>
      </c>
      <c r="V21" s="79">
        <v>0</v>
      </c>
      <c r="W21" s="79">
        <v>0</v>
      </c>
      <c r="X21" s="79">
        <v>0</v>
      </c>
      <c r="Y21" s="79">
        <v>0</v>
      </c>
      <c r="Z21" s="79">
        <v>0</v>
      </c>
      <c r="AA21" s="79">
        <v>0</v>
      </c>
      <c r="AB21" s="79">
        <v>0</v>
      </c>
      <c r="AC21" s="79">
        <v>0</v>
      </c>
      <c r="AD21" s="79">
        <v>0</v>
      </c>
      <c r="AE21">
        <v>0</v>
      </c>
      <c r="AF21">
        <v>0</v>
      </c>
      <c r="AG21">
        <v>0</v>
      </c>
      <c r="AH21">
        <v>-1000</v>
      </c>
      <c r="AI21">
        <v>-1000</v>
      </c>
      <c r="AJ21">
        <v>-1000</v>
      </c>
      <c r="AK21">
        <v>-1000</v>
      </c>
      <c r="AL21">
        <v>-1000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-1000</v>
      </c>
      <c r="AU21">
        <v>0</v>
      </c>
      <c r="AV21">
        <v>0</v>
      </c>
      <c r="AW21">
        <v>0</v>
      </c>
      <c r="AX21">
        <v>0</v>
      </c>
      <c r="AY21">
        <v>1000</v>
      </c>
      <c r="AZ21">
        <v>0</v>
      </c>
      <c r="BA21">
        <v>0</v>
      </c>
      <c r="BB21">
        <v>0</v>
      </c>
      <c r="BC21">
        <v>0</v>
      </c>
      <c r="BD21">
        <v>0</v>
      </c>
      <c r="BE21" s="79">
        <v>0</v>
      </c>
      <c r="BF21" s="79">
        <v>0</v>
      </c>
      <c r="BG21" s="79">
        <v>0</v>
      </c>
      <c r="BH21" s="79">
        <v>0</v>
      </c>
      <c r="BI21" s="79">
        <v>0</v>
      </c>
      <c r="BJ21" s="79">
        <v>0</v>
      </c>
      <c r="BK21" s="79">
        <v>0</v>
      </c>
      <c r="BL21" s="79">
        <v>0</v>
      </c>
      <c r="BM21" s="79">
        <v>0</v>
      </c>
      <c r="BN21" s="79">
        <v>0</v>
      </c>
      <c r="BO21" s="79">
        <v>0</v>
      </c>
      <c r="BP21" s="79">
        <v>0</v>
      </c>
      <c r="BQ21" s="79">
        <v>0</v>
      </c>
      <c r="BR21" s="79">
        <v>0</v>
      </c>
      <c r="BS21" s="79">
        <v>0</v>
      </c>
      <c r="BT21" s="79">
        <v>0</v>
      </c>
      <c r="BU21" s="79">
        <v>0</v>
      </c>
      <c r="BV21" s="79">
        <v>0</v>
      </c>
      <c r="BW21" s="79">
        <v>0</v>
      </c>
      <c r="BX21" s="79">
        <v>0</v>
      </c>
      <c r="BY21" s="79">
        <v>0</v>
      </c>
      <c r="BZ21" s="79">
        <v>0</v>
      </c>
      <c r="CA21" s="79">
        <v>0</v>
      </c>
      <c r="CB21" s="79">
        <v>0</v>
      </c>
      <c r="CC21" s="79">
        <v>0</v>
      </c>
    </row>
    <row r="22" spans="2:81" x14ac:dyDescent="0.25">
      <c r="B22" s="104">
        <v>1110</v>
      </c>
      <c r="C22" s="79">
        <v>0</v>
      </c>
      <c r="D22" s="79">
        <v>0</v>
      </c>
      <c r="E22" s="79">
        <v>0</v>
      </c>
      <c r="F22" s="79">
        <v>0</v>
      </c>
      <c r="G22" s="79">
        <v>0</v>
      </c>
      <c r="H22" s="79">
        <v>0</v>
      </c>
      <c r="I22" s="79">
        <v>0</v>
      </c>
      <c r="J22" s="79">
        <v>0</v>
      </c>
      <c r="K22" s="79">
        <v>0</v>
      </c>
      <c r="L22" s="79">
        <v>0</v>
      </c>
      <c r="M22" s="79">
        <v>0</v>
      </c>
      <c r="N22" s="79">
        <v>0</v>
      </c>
      <c r="O22" s="79">
        <v>0</v>
      </c>
      <c r="P22" s="79">
        <v>0</v>
      </c>
      <c r="Q22" s="79">
        <v>0</v>
      </c>
      <c r="R22" s="79">
        <v>0</v>
      </c>
      <c r="S22" s="79">
        <v>0</v>
      </c>
      <c r="T22" s="79">
        <v>0</v>
      </c>
      <c r="U22" s="79">
        <v>0</v>
      </c>
      <c r="V22" s="79">
        <v>0</v>
      </c>
      <c r="W22" s="79">
        <v>0</v>
      </c>
      <c r="X22" s="79">
        <v>0</v>
      </c>
      <c r="Y22" s="79">
        <v>0</v>
      </c>
      <c r="Z22" s="79">
        <v>0</v>
      </c>
      <c r="AA22" s="79">
        <v>0</v>
      </c>
      <c r="AB22" s="79">
        <v>0</v>
      </c>
      <c r="AC22" s="79">
        <v>0</v>
      </c>
      <c r="AD22" s="79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-15315.670000000002</v>
      </c>
      <c r="BD22">
        <v>-15315.67</v>
      </c>
      <c r="BE22" s="79">
        <v>0</v>
      </c>
      <c r="BF22" s="79">
        <v>0</v>
      </c>
      <c r="BG22" s="79">
        <v>0</v>
      </c>
      <c r="BH22" s="79">
        <v>0</v>
      </c>
      <c r="BI22" s="79">
        <v>0</v>
      </c>
      <c r="BJ22" s="79">
        <v>0</v>
      </c>
      <c r="BK22" s="79">
        <v>0</v>
      </c>
      <c r="BL22" s="79">
        <v>0</v>
      </c>
      <c r="BM22" s="79">
        <v>0</v>
      </c>
      <c r="BN22" s="79">
        <v>0</v>
      </c>
      <c r="BO22" s="79">
        <v>0</v>
      </c>
      <c r="BP22" s="79">
        <v>0</v>
      </c>
      <c r="BQ22" s="79">
        <v>0</v>
      </c>
      <c r="BR22" s="79">
        <v>0</v>
      </c>
      <c r="BS22" s="79">
        <v>0</v>
      </c>
      <c r="BT22" s="79">
        <v>0</v>
      </c>
      <c r="BU22" s="79">
        <v>0</v>
      </c>
      <c r="BV22" s="79">
        <v>0</v>
      </c>
      <c r="BW22" s="79">
        <v>0</v>
      </c>
      <c r="BX22" s="79">
        <v>0</v>
      </c>
      <c r="BY22" s="79">
        <v>0</v>
      </c>
      <c r="BZ22" s="79">
        <v>0</v>
      </c>
      <c r="CA22" s="79">
        <v>0</v>
      </c>
      <c r="CB22" s="79">
        <v>0</v>
      </c>
      <c r="CC22" s="79">
        <v>0</v>
      </c>
    </row>
    <row r="23" spans="2:81" x14ac:dyDescent="0.25">
      <c r="B23" s="84" t="s">
        <v>223</v>
      </c>
      <c r="C23" s="79">
        <v>-22453.040000000001</v>
      </c>
      <c r="D23" s="79">
        <v>-21727.4</v>
      </c>
      <c r="E23" s="79">
        <v>0</v>
      </c>
      <c r="F23" s="79">
        <v>0</v>
      </c>
      <c r="G23" s="79">
        <v>-540.64</v>
      </c>
      <c r="H23" s="79">
        <v>-540.64</v>
      </c>
      <c r="I23" s="79">
        <v>-725.64</v>
      </c>
      <c r="J23" s="79">
        <v>-725.64</v>
      </c>
      <c r="K23" s="79">
        <v>-725.64</v>
      </c>
      <c r="L23" s="79">
        <v>-725.64</v>
      </c>
      <c r="M23" s="79">
        <v>-725.64</v>
      </c>
      <c r="N23" s="79">
        <v>-725.64</v>
      </c>
      <c r="O23" s="79">
        <v>-725.64</v>
      </c>
      <c r="P23" s="79">
        <v>-1315.05</v>
      </c>
      <c r="Q23" s="79">
        <v>0</v>
      </c>
      <c r="R23" s="79">
        <v>-21727.4</v>
      </c>
      <c r="S23" s="79">
        <v>0</v>
      </c>
      <c r="T23" s="79">
        <v>0</v>
      </c>
      <c r="U23" s="79">
        <v>-540.64</v>
      </c>
      <c r="V23" s="79">
        <v>0</v>
      </c>
      <c r="W23" s="79">
        <v>-185</v>
      </c>
      <c r="X23" s="79">
        <v>0</v>
      </c>
      <c r="Y23" s="79">
        <v>0</v>
      </c>
      <c r="Z23" s="79">
        <v>0</v>
      </c>
      <c r="AA23" s="79">
        <v>0</v>
      </c>
      <c r="AB23" s="79">
        <v>0</v>
      </c>
      <c r="AC23" s="79">
        <v>0</v>
      </c>
      <c r="AD23" s="79">
        <v>-589.41</v>
      </c>
      <c r="AE23">
        <v>0</v>
      </c>
      <c r="AF23">
        <v>0</v>
      </c>
      <c r="AG23">
        <v>-1479.2</v>
      </c>
      <c r="AH23">
        <v>-1479.2</v>
      </c>
      <c r="AI23">
        <v>-1479.2</v>
      </c>
      <c r="AJ23">
        <v>-1479.2</v>
      </c>
      <c r="AK23">
        <v>-1479.2</v>
      </c>
      <c r="AL23">
        <v>-1479.2</v>
      </c>
      <c r="AM23">
        <v>-1479.2</v>
      </c>
      <c r="AN23">
        <v>-1479.2</v>
      </c>
      <c r="AO23">
        <v>-1479.2</v>
      </c>
      <c r="AP23">
        <v>-1479.2</v>
      </c>
      <c r="AQ23">
        <v>0</v>
      </c>
      <c r="AR23">
        <v>0</v>
      </c>
      <c r="AS23">
        <v>-1479.2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-31310.359999999997</v>
      </c>
      <c r="BD23">
        <v>-29995.31</v>
      </c>
      <c r="BE23" s="79">
        <v>0</v>
      </c>
      <c r="BF23" s="79">
        <v>-838</v>
      </c>
      <c r="BG23" s="79">
        <v>-838</v>
      </c>
      <c r="BH23" s="79">
        <v>-838</v>
      </c>
      <c r="BI23" s="79">
        <v>-838</v>
      </c>
      <c r="BJ23" s="79">
        <v>-838</v>
      </c>
      <c r="BK23" s="79">
        <v>-838</v>
      </c>
      <c r="BL23" s="79">
        <v>-838</v>
      </c>
      <c r="BM23" s="79">
        <v>-838</v>
      </c>
      <c r="BN23" s="79">
        <v>-838</v>
      </c>
      <c r="BO23" s="79">
        <v>-838</v>
      </c>
      <c r="BP23" s="79">
        <v>-838</v>
      </c>
      <c r="BQ23" s="79">
        <v>-838</v>
      </c>
      <c r="BR23" s="79">
        <v>-838</v>
      </c>
      <c r="BS23" s="79">
        <v>0</v>
      </c>
      <c r="BT23" s="79">
        <v>0</v>
      </c>
      <c r="BU23" s="79">
        <v>0</v>
      </c>
      <c r="BV23" s="79">
        <v>0</v>
      </c>
      <c r="BW23" s="79">
        <v>0</v>
      </c>
      <c r="BX23" s="79">
        <v>0</v>
      </c>
      <c r="BY23" s="79">
        <v>0</v>
      </c>
      <c r="BZ23" s="79">
        <v>0</v>
      </c>
      <c r="CA23" s="79">
        <v>0</v>
      </c>
      <c r="CB23" s="79">
        <v>0</v>
      </c>
      <c r="CC23" s="79">
        <v>0</v>
      </c>
    </row>
    <row r="24" spans="2:81" x14ac:dyDescent="0.25">
      <c r="B24" s="84" t="s">
        <v>320</v>
      </c>
      <c r="C24" s="79">
        <v>0</v>
      </c>
      <c r="D24" s="79">
        <v>0</v>
      </c>
      <c r="E24" s="79">
        <v>0</v>
      </c>
      <c r="F24" s="79">
        <v>0</v>
      </c>
      <c r="G24" s="79">
        <v>0</v>
      </c>
      <c r="H24" s="79">
        <v>0</v>
      </c>
      <c r="I24" s="79">
        <v>0</v>
      </c>
      <c r="J24" s="79">
        <v>0</v>
      </c>
      <c r="K24" s="79">
        <v>0</v>
      </c>
      <c r="L24" s="79">
        <v>0</v>
      </c>
      <c r="M24" s="79">
        <v>0</v>
      </c>
      <c r="N24" s="79">
        <v>0</v>
      </c>
      <c r="O24" s="79">
        <v>0</v>
      </c>
      <c r="P24" s="79">
        <v>0</v>
      </c>
      <c r="Q24" s="79">
        <v>0</v>
      </c>
      <c r="R24" s="79">
        <v>0</v>
      </c>
      <c r="S24" s="79">
        <v>0</v>
      </c>
      <c r="T24" s="79">
        <v>0</v>
      </c>
      <c r="U24" s="79">
        <v>0</v>
      </c>
      <c r="V24" s="79">
        <v>0</v>
      </c>
      <c r="W24" s="79">
        <v>0</v>
      </c>
      <c r="X24" s="79">
        <v>0</v>
      </c>
      <c r="Y24" s="79">
        <v>0</v>
      </c>
      <c r="Z24" s="79">
        <v>0</v>
      </c>
      <c r="AA24" s="79">
        <v>0</v>
      </c>
      <c r="AB24" s="79">
        <v>0</v>
      </c>
      <c r="AC24" s="79">
        <v>0</v>
      </c>
      <c r="AD24" s="79">
        <v>0</v>
      </c>
      <c r="AE24">
        <v>0</v>
      </c>
      <c r="AF24">
        <v>-822.24</v>
      </c>
      <c r="AG24">
        <v>-822.24</v>
      </c>
      <c r="AH24">
        <v>-822.24</v>
      </c>
      <c r="AI24">
        <v>-822.24</v>
      </c>
      <c r="AJ24">
        <v>-822.24</v>
      </c>
      <c r="AK24">
        <v>-822.24</v>
      </c>
      <c r="AL24">
        <v>-822.24</v>
      </c>
      <c r="AM24">
        <v>-822.24</v>
      </c>
      <c r="AN24">
        <v>-822.24</v>
      </c>
      <c r="AO24">
        <v>-822.24</v>
      </c>
      <c r="AP24">
        <v>-822.24</v>
      </c>
      <c r="AQ24">
        <v>0</v>
      </c>
      <c r="AR24">
        <v>-822.24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-34229.360000000001</v>
      </c>
      <c r="BD24">
        <v>-34229.360000000001</v>
      </c>
      <c r="BE24" s="79">
        <v>0</v>
      </c>
      <c r="BF24" s="79">
        <v>-1335</v>
      </c>
      <c r="BG24" s="79">
        <v>-1335</v>
      </c>
      <c r="BH24" s="79">
        <v>-1335</v>
      </c>
      <c r="BI24" s="79">
        <v>-1335</v>
      </c>
      <c r="BJ24" s="79">
        <v>-1335</v>
      </c>
      <c r="BK24" s="79">
        <v>-1335</v>
      </c>
      <c r="BL24" s="79">
        <v>-1335</v>
      </c>
      <c r="BM24" s="79">
        <v>-1335</v>
      </c>
      <c r="BN24" s="79">
        <v>-1335</v>
      </c>
      <c r="BO24" s="79">
        <v>-1335</v>
      </c>
      <c r="BP24" s="79">
        <v>-1335</v>
      </c>
      <c r="BQ24" s="79">
        <v>-1335</v>
      </c>
      <c r="BR24" s="79">
        <v>-1335</v>
      </c>
      <c r="BS24" s="79">
        <v>0</v>
      </c>
      <c r="BT24" s="79">
        <v>0</v>
      </c>
      <c r="BU24" s="79">
        <v>0</v>
      </c>
      <c r="BV24" s="79">
        <v>0</v>
      </c>
      <c r="BW24" s="79">
        <v>0</v>
      </c>
      <c r="BX24" s="79">
        <v>0</v>
      </c>
      <c r="BY24" s="79">
        <v>0</v>
      </c>
      <c r="BZ24" s="79">
        <v>0</v>
      </c>
      <c r="CA24" s="79">
        <v>0</v>
      </c>
      <c r="CB24" s="79">
        <v>0</v>
      </c>
      <c r="CC24" s="79">
        <v>0</v>
      </c>
    </row>
    <row r="25" spans="2:81" x14ac:dyDescent="0.25">
      <c r="B25" s="84" t="s">
        <v>117</v>
      </c>
      <c r="C25" s="79">
        <v>37335.379999999997</v>
      </c>
      <c r="D25" s="79">
        <v>-8346.8700000000008</v>
      </c>
      <c r="E25" s="79">
        <v>-288.39999999999998</v>
      </c>
      <c r="F25" s="79">
        <v>-288.39999999999998</v>
      </c>
      <c r="G25" s="79">
        <v>-288.39999999999998</v>
      </c>
      <c r="H25" s="79">
        <v>-729.7</v>
      </c>
      <c r="I25" s="79">
        <v>-729.7</v>
      </c>
      <c r="J25" s="79">
        <v>-1815.07</v>
      </c>
      <c r="K25" s="79">
        <v>-2007.47</v>
      </c>
      <c r="L25" s="79">
        <v>-2169.4699999999998</v>
      </c>
      <c r="M25" s="79">
        <v>-2550.35</v>
      </c>
      <c r="N25" s="79">
        <v>-2817.75</v>
      </c>
      <c r="O25" s="79">
        <v>45682.25</v>
      </c>
      <c r="P25" s="79">
        <v>45590.25</v>
      </c>
      <c r="Q25" s="79">
        <v>-1637.2</v>
      </c>
      <c r="R25" s="79">
        <v>0</v>
      </c>
      <c r="S25" s="79">
        <v>-288.39999999999998</v>
      </c>
      <c r="T25" s="79">
        <v>0</v>
      </c>
      <c r="U25" s="79">
        <v>0</v>
      </c>
      <c r="V25" s="79">
        <v>-441.3</v>
      </c>
      <c r="W25" s="79">
        <v>0</v>
      </c>
      <c r="X25" s="79">
        <v>-1085.3699999999999</v>
      </c>
      <c r="Y25" s="79">
        <v>-192.4</v>
      </c>
      <c r="Z25" s="79">
        <v>-162</v>
      </c>
      <c r="AA25" s="79">
        <v>-380.88</v>
      </c>
      <c r="AB25" s="79">
        <v>-267.39999999999998</v>
      </c>
      <c r="AC25" s="79">
        <v>48500</v>
      </c>
      <c r="AD25" s="79">
        <v>-92</v>
      </c>
      <c r="AE25">
        <v>-468.84</v>
      </c>
      <c r="AF25">
        <v>-657.24</v>
      </c>
      <c r="AG25">
        <v>-57244.24</v>
      </c>
      <c r="AH25">
        <v>-57392.67</v>
      </c>
      <c r="AI25">
        <v>-57463.88</v>
      </c>
      <c r="AJ25">
        <v>-57701.98</v>
      </c>
      <c r="AK25">
        <v>-58009.78</v>
      </c>
      <c r="AL25">
        <v>-58433.17</v>
      </c>
      <c r="AM25">
        <v>-58870.97</v>
      </c>
      <c r="AN25">
        <v>-59536.1</v>
      </c>
      <c r="AO25">
        <v>-61455.66</v>
      </c>
      <c r="AP25">
        <v>-61840.58</v>
      </c>
      <c r="AQ25">
        <v>-468.84</v>
      </c>
      <c r="AR25">
        <v>-188.4</v>
      </c>
      <c r="AS25">
        <v>-56587</v>
      </c>
      <c r="AT25">
        <v>-148.43</v>
      </c>
      <c r="AU25">
        <v>-71.209999999999994</v>
      </c>
      <c r="AV25">
        <v>-238.1</v>
      </c>
      <c r="AW25">
        <v>-307.8</v>
      </c>
      <c r="AX25">
        <v>-423.39</v>
      </c>
      <c r="AY25">
        <v>-437.8</v>
      </c>
      <c r="AZ25">
        <v>-665.13</v>
      </c>
      <c r="BA25">
        <v>-1919.56</v>
      </c>
      <c r="BB25">
        <v>-384.92</v>
      </c>
      <c r="BC25">
        <v>45590.25</v>
      </c>
      <c r="BD25">
        <v>0</v>
      </c>
      <c r="BE25" s="79">
        <v>0</v>
      </c>
      <c r="BF25" s="79">
        <v>-278.19</v>
      </c>
      <c r="BG25" s="79">
        <v>-283.39</v>
      </c>
      <c r="BH25" s="79">
        <v>-283.39</v>
      </c>
      <c r="BI25" s="79">
        <v>-283.39</v>
      </c>
      <c r="BJ25" s="79">
        <v>-283.39</v>
      </c>
      <c r="BK25" s="79">
        <v>-283.39</v>
      </c>
      <c r="BL25" s="79">
        <v>-283.39</v>
      </c>
      <c r="BM25" s="79">
        <v>-283.39</v>
      </c>
      <c r="BN25" s="79">
        <v>-283.39</v>
      </c>
      <c r="BO25" s="79">
        <v>-283.39</v>
      </c>
      <c r="BP25" s="79">
        <v>-283.39</v>
      </c>
      <c r="BQ25" s="79">
        <v>-283.39</v>
      </c>
      <c r="BR25" s="79">
        <v>-278.19</v>
      </c>
      <c r="BS25" s="79">
        <v>-5.2</v>
      </c>
      <c r="BT25" s="79">
        <v>0</v>
      </c>
      <c r="BU25" s="79">
        <v>0</v>
      </c>
      <c r="BV25" s="79">
        <v>0</v>
      </c>
      <c r="BW25" s="79">
        <v>0</v>
      </c>
      <c r="BX25" s="79">
        <v>0</v>
      </c>
      <c r="BY25" s="79">
        <v>0</v>
      </c>
      <c r="BZ25" s="79">
        <v>0</v>
      </c>
      <c r="CA25" s="79">
        <v>0</v>
      </c>
      <c r="CB25" s="79">
        <v>0</v>
      </c>
      <c r="CC25" s="79">
        <v>0</v>
      </c>
    </row>
    <row r="26" spans="2:81" x14ac:dyDescent="0.25">
      <c r="B26" s="84" t="s">
        <v>116</v>
      </c>
      <c r="C26" s="79">
        <v>8224.09</v>
      </c>
      <c r="D26" s="79">
        <v>15955.17</v>
      </c>
      <c r="E26" s="79">
        <v>-39338.99</v>
      </c>
      <c r="F26" s="79">
        <v>-14464.96</v>
      </c>
      <c r="G26" s="79">
        <v>-60592.43</v>
      </c>
      <c r="H26" s="79">
        <v>-3769.72</v>
      </c>
      <c r="I26" s="79">
        <v>22692.07</v>
      </c>
      <c r="J26" s="79">
        <v>-22727.37</v>
      </c>
      <c r="K26" s="79">
        <v>24895.59</v>
      </c>
      <c r="L26" s="79">
        <v>4906.78</v>
      </c>
      <c r="M26" s="79">
        <v>71614.899999999994</v>
      </c>
      <c r="N26" s="79">
        <v>1478.72</v>
      </c>
      <c r="O26" s="79">
        <v>-7731.08</v>
      </c>
      <c r="P26" s="79">
        <v>-50933.49</v>
      </c>
      <c r="Q26" s="79">
        <v>-10546.1</v>
      </c>
      <c r="R26" s="79">
        <v>-1116.68</v>
      </c>
      <c r="S26" s="79">
        <v>-39338.99</v>
      </c>
      <c r="T26" s="79">
        <v>24874.03</v>
      </c>
      <c r="U26" s="79">
        <v>-46127.47</v>
      </c>
      <c r="V26" s="79">
        <v>56822.71</v>
      </c>
      <c r="W26" s="79">
        <v>26461.79</v>
      </c>
      <c r="X26" s="79">
        <v>-45419.44</v>
      </c>
      <c r="Y26" s="79">
        <v>47622.96</v>
      </c>
      <c r="Z26" s="79">
        <v>-19988.810000000001</v>
      </c>
      <c r="AA26" s="79">
        <v>66708.12</v>
      </c>
      <c r="AB26" s="79">
        <v>-70136.179999999993</v>
      </c>
      <c r="AC26" s="79">
        <v>-9209.7999999999993</v>
      </c>
      <c r="AD26" s="79">
        <v>-43202.41</v>
      </c>
      <c r="AE26">
        <v>70576.88</v>
      </c>
      <c r="AF26">
        <v>57733.83</v>
      </c>
      <c r="AG26">
        <v>63333.21</v>
      </c>
      <c r="AH26">
        <v>73687.199999999997</v>
      </c>
      <c r="AI26">
        <v>103116.74</v>
      </c>
      <c r="AJ26">
        <v>55666.35</v>
      </c>
      <c r="AK26">
        <v>80798.38</v>
      </c>
      <c r="AL26">
        <v>68028.600000000006</v>
      </c>
      <c r="AM26">
        <v>8858.2000000000007</v>
      </c>
      <c r="AN26">
        <v>31712.240000000002</v>
      </c>
      <c r="AO26">
        <v>104727.23</v>
      </c>
      <c r="AP26">
        <v>-92833.34</v>
      </c>
      <c r="AQ26">
        <v>70576.88</v>
      </c>
      <c r="AR26">
        <v>-12843.05</v>
      </c>
      <c r="AS26">
        <v>5599.38</v>
      </c>
      <c r="AT26">
        <v>10353.99</v>
      </c>
      <c r="AU26">
        <v>29429.54</v>
      </c>
      <c r="AV26">
        <v>-47450.39</v>
      </c>
      <c r="AW26">
        <v>25132.03</v>
      </c>
      <c r="AX26">
        <v>-12769.78</v>
      </c>
      <c r="AY26">
        <v>-59170.400000000001</v>
      </c>
      <c r="AZ26">
        <v>22854.04</v>
      </c>
      <c r="BA26">
        <v>73014.990000000005</v>
      </c>
      <c r="BB26">
        <v>-197560.57</v>
      </c>
      <c r="BC26">
        <v>-62751.020000000011</v>
      </c>
      <c r="BD26">
        <v>-11817.53</v>
      </c>
      <c r="BE26" s="79">
        <v>0</v>
      </c>
      <c r="BF26" s="79">
        <v>-46849.93</v>
      </c>
      <c r="BG26" s="79">
        <v>-41205.46</v>
      </c>
      <c r="BH26" s="79">
        <v>-39912.620000000003</v>
      </c>
      <c r="BI26" s="79">
        <v>-39912.620000000003</v>
      </c>
      <c r="BJ26" s="79">
        <v>-39912.620000000003</v>
      </c>
      <c r="BK26" s="79">
        <v>-39912.620000000003</v>
      </c>
      <c r="BL26" s="79">
        <v>-39912.620000000003</v>
      </c>
      <c r="BM26" s="79">
        <v>-39794.32</v>
      </c>
      <c r="BN26" s="79">
        <v>-41249.269999999997</v>
      </c>
      <c r="BO26" s="79">
        <v>-41249.269999999997</v>
      </c>
      <c r="BP26" s="79">
        <v>-41249.269999999997</v>
      </c>
      <c r="BQ26" s="79">
        <v>-41249.269999999997</v>
      </c>
      <c r="BR26" s="79">
        <v>-120238.19</v>
      </c>
      <c r="BS26" s="79">
        <v>-94786.04</v>
      </c>
      <c r="BT26" s="79">
        <v>0</v>
      </c>
      <c r="BU26" s="79">
        <v>0</v>
      </c>
      <c r="BV26" s="79">
        <v>-1678.95</v>
      </c>
      <c r="BW26" s="79">
        <v>0</v>
      </c>
      <c r="BX26" s="79">
        <v>0</v>
      </c>
      <c r="BY26" s="79">
        <v>0</v>
      </c>
      <c r="BZ26" s="79">
        <v>0</v>
      </c>
      <c r="CA26" s="79">
        <v>0</v>
      </c>
      <c r="CB26" s="79">
        <v>0</v>
      </c>
      <c r="CC26" s="79">
        <v>0</v>
      </c>
    </row>
    <row r="27" spans="2:81" x14ac:dyDescent="0.25">
      <c r="B27" s="84" t="s">
        <v>144</v>
      </c>
      <c r="C27" s="79">
        <v>0</v>
      </c>
      <c r="D27" s="79">
        <v>0</v>
      </c>
      <c r="E27" s="79">
        <v>0</v>
      </c>
      <c r="F27" s="79">
        <v>0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0</v>
      </c>
      <c r="O27" s="79">
        <v>0</v>
      </c>
      <c r="P27" s="79">
        <v>0</v>
      </c>
      <c r="Q27" s="79">
        <v>0</v>
      </c>
      <c r="R27" s="79">
        <v>0</v>
      </c>
      <c r="S27" s="79">
        <v>0</v>
      </c>
      <c r="T27" s="79">
        <v>0</v>
      </c>
      <c r="U27" s="79">
        <v>0</v>
      </c>
      <c r="V27" s="79">
        <v>0</v>
      </c>
      <c r="W27" s="79">
        <v>0</v>
      </c>
      <c r="X27" s="79">
        <v>0</v>
      </c>
      <c r="Y27" s="79">
        <v>0</v>
      </c>
      <c r="Z27" s="79">
        <v>0</v>
      </c>
      <c r="AA27" s="79">
        <v>0</v>
      </c>
      <c r="AB27" s="79">
        <v>0</v>
      </c>
      <c r="AC27" s="79">
        <v>0</v>
      </c>
      <c r="AD27" s="79">
        <v>0</v>
      </c>
      <c r="AE27">
        <v>0</v>
      </c>
      <c r="AF27">
        <v>0</v>
      </c>
      <c r="AG27">
        <v>0</v>
      </c>
      <c r="AH27">
        <v>-663.24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-663.24</v>
      </c>
      <c r="AU27">
        <v>663.24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 s="79">
        <v>0</v>
      </c>
      <c r="BF27" s="79">
        <v>0</v>
      </c>
      <c r="BG27" s="79">
        <v>0</v>
      </c>
      <c r="BH27" s="79">
        <v>0</v>
      </c>
      <c r="BI27" s="79">
        <v>0</v>
      </c>
      <c r="BJ27" s="79">
        <v>0</v>
      </c>
      <c r="BK27" s="79">
        <v>0</v>
      </c>
      <c r="BL27" s="79">
        <v>0</v>
      </c>
      <c r="BM27" s="79">
        <v>0</v>
      </c>
      <c r="BN27" s="79">
        <v>0</v>
      </c>
      <c r="BO27" s="79">
        <v>0</v>
      </c>
      <c r="BP27" s="79">
        <v>0</v>
      </c>
      <c r="BQ27" s="79">
        <v>0</v>
      </c>
      <c r="BR27" s="79">
        <v>-73808.88</v>
      </c>
      <c r="BS27" s="79">
        <v>-28439.22</v>
      </c>
      <c r="BT27" s="79">
        <v>0</v>
      </c>
      <c r="BU27" s="79">
        <v>0</v>
      </c>
      <c r="BV27" s="79">
        <v>0</v>
      </c>
      <c r="BW27" s="79">
        <v>0</v>
      </c>
      <c r="BX27" s="79">
        <v>0</v>
      </c>
      <c r="BY27" s="79">
        <v>0</v>
      </c>
      <c r="BZ27" s="79">
        <v>0</v>
      </c>
      <c r="CA27" s="79">
        <v>0</v>
      </c>
      <c r="CB27" s="79">
        <v>0</v>
      </c>
      <c r="CC27" s="79">
        <v>0</v>
      </c>
    </row>
    <row r="28" spans="2:81" x14ac:dyDescent="0.25">
      <c r="B28" s="84" t="s">
        <v>224</v>
      </c>
      <c r="C28" s="79">
        <v>0</v>
      </c>
      <c r="D28" s="79">
        <v>0</v>
      </c>
      <c r="E28" s="79">
        <v>0</v>
      </c>
      <c r="F28" s="79">
        <v>0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0</v>
      </c>
      <c r="M28" s="79">
        <v>0</v>
      </c>
      <c r="N28" s="79">
        <v>0</v>
      </c>
      <c r="O28" s="79">
        <v>0</v>
      </c>
      <c r="P28" s="79">
        <v>0</v>
      </c>
      <c r="Q28" s="79">
        <v>0</v>
      </c>
      <c r="R28" s="79">
        <v>0</v>
      </c>
      <c r="S28" s="79">
        <v>0</v>
      </c>
      <c r="T28" s="79">
        <v>0</v>
      </c>
      <c r="U28" s="79">
        <v>0</v>
      </c>
      <c r="V28" s="79">
        <v>0</v>
      </c>
      <c r="W28" s="79">
        <v>0</v>
      </c>
      <c r="X28" s="79">
        <v>0</v>
      </c>
      <c r="Y28" s="79">
        <v>0</v>
      </c>
      <c r="Z28" s="79">
        <v>0</v>
      </c>
      <c r="AA28" s="79">
        <v>0</v>
      </c>
      <c r="AB28" s="79">
        <v>0</v>
      </c>
      <c r="AC28" s="79">
        <v>0</v>
      </c>
      <c r="AD28" s="79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 s="79">
        <v>0</v>
      </c>
      <c r="BF28" s="79">
        <v>0</v>
      </c>
      <c r="BG28" s="79">
        <v>0</v>
      </c>
      <c r="BH28" s="79">
        <v>0</v>
      </c>
      <c r="BI28" s="79">
        <v>0</v>
      </c>
      <c r="BJ28" s="79">
        <v>0</v>
      </c>
      <c r="BK28" s="79">
        <v>0</v>
      </c>
      <c r="BL28" s="79">
        <v>0</v>
      </c>
      <c r="BM28" s="79">
        <v>0</v>
      </c>
      <c r="BN28" s="79">
        <v>0</v>
      </c>
      <c r="BO28" s="79">
        <v>0</v>
      </c>
      <c r="BP28" s="79">
        <v>0</v>
      </c>
      <c r="BQ28" s="79">
        <v>0</v>
      </c>
      <c r="BR28" s="79">
        <v>0</v>
      </c>
      <c r="BS28" s="79">
        <v>0</v>
      </c>
      <c r="BT28" s="79">
        <v>0</v>
      </c>
      <c r="BU28" s="79">
        <v>0</v>
      </c>
      <c r="BV28" s="79">
        <v>0</v>
      </c>
      <c r="BW28" s="79">
        <v>0</v>
      </c>
      <c r="BX28" s="79">
        <v>0</v>
      </c>
      <c r="BY28" s="79">
        <v>0</v>
      </c>
      <c r="BZ28" s="79">
        <v>0</v>
      </c>
      <c r="CA28" s="79">
        <v>0</v>
      </c>
      <c r="CB28" s="79">
        <v>0</v>
      </c>
      <c r="CC28" s="79">
        <v>0</v>
      </c>
    </row>
    <row r="29" spans="2:81" x14ac:dyDescent="0.25">
      <c r="B29" s="84" t="s">
        <v>225</v>
      </c>
      <c r="C29" s="79">
        <v>19107.89</v>
      </c>
      <c r="D29" s="79">
        <v>-478.95</v>
      </c>
      <c r="E29" s="79">
        <v>13399.28</v>
      </c>
      <c r="F29" s="79">
        <v>16460.439999999999</v>
      </c>
      <c r="G29" s="79">
        <v>-9207.8799999999992</v>
      </c>
      <c r="H29" s="79">
        <v>-16645.55</v>
      </c>
      <c r="I29" s="79">
        <v>-22541.38</v>
      </c>
      <c r="J29" s="79">
        <v>13955.45</v>
      </c>
      <c r="K29" s="79">
        <v>-15458.29</v>
      </c>
      <c r="L29" s="79">
        <v>19586.84</v>
      </c>
      <c r="M29" s="79">
        <v>19586.84</v>
      </c>
      <c r="N29" s="79">
        <v>19586.84</v>
      </c>
      <c r="O29" s="79">
        <v>19586.84</v>
      </c>
      <c r="P29" s="79">
        <v>14998.86</v>
      </c>
      <c r="Q29" s="79">
        <v>-30949.96</v>
      </c>
      <c r="R29" s="79">
        <v>31920.04</v>
      </c>
      <c r="S29" s="79">
        <v>13399.28</v>
      </c>
      <c r="T29" s="79">
        <v>3061.16</v>
      </c>
      <c r="U29" s="79">
        <v>-25668.32</v>
      </c>
      <c r="V29" s="79">
        <v>-7437.67</v>
      </c>
      <c r="W29" s="79">
        <v>-5895.83</v>
      </c>
      <c r="X29" s="79">
        <v>36496.83</v>
      </c>
      <c r="Y29" s="79">
        <v>-29413.74</v>
      </c>
      <c r="Z29" s="79">
        <v>35045.129999999997</v>
      </c>
      <c r="AA29" s="79">
        <v>0</v>
      </c>
      <c r="AB29" s="79">
        <v>0</v>
      </c>
      <c r="AC29" s="79">
        <v>0</v>
      </c>
      <c r="AD29" s="79">
        <v>-4587.9799999999996</v>
      </c>
      <c r="AE29">
        <v>12178.72</v>
      </c>
      <c r="AF29">
        <v>-19570.75</v>
      </c>
      <c r="AG29">
        <v>22964.75</v>
      </c>
      <c r="AH29">
        <v>1884.75</v>
      </c>
      <c r="AI29">
        <v>-25914.76</v>
      </c>
      <c r="AJ29">
        <v>40340.400000000001</v>
      </c>
      <c r="AK29">
        <v>24510.82</v>
      </c>
      <c r="AL29">
        <v>-20393.7</v>
      </c>
      <c r="AM29">
        <v>46829.27</v>
      </c>
      <c r="AN29">
        <v>44381.52</v>
      </c>
      <c r="AO29">
        <v>-5972.35</v>
      </c>
      <c r="AP29">
        <v>26124.5</v>
      </c>
      <c r="AQ29">
        <v>12178.72</v>
      </c>
      <c r="AR29">
        <v>-31749.47</v>
      </c>
      <c r="AS29">
        <v>42535.5</v>
      </c>
      <c r="AT29">
        <v>-21080</v>
      </c>
      <c r="AU29">
        <v>-27799.51</v>
      </c>
      <c r="AV29">
        <v>66255.16</v>
      </c>
      <c r="AW29">
        <v>-15829.58</v>
      </c>
      <c r="AX29">
        <v>-44904.52</v>
      </c>
      <c r="AY29">
        <v>67222.97</v>
      </c>
      <c r="AZ29">
        <v>-2447.75</v>
      </c>
      <c r="BA29">
        <v>-50353.87</v>
      </c>
      <c r="BB29">
        <v>32096.85</v>
      </c>
      <c r="BC29">
        <v>-52297.939999999995</v>
      </c>
      <c r="BD29">
        <v>-14998.86</v>
      </c>
      <c r="BE29" s="79">
        <v>0</v>
      </c>
      <c r="BF29" s="79">
        <v>-16589.919999999998</v>
      </c>
      <c r="BG29" s="79">
        <v>-16589.919999999998</v>
      </c>
      <c r="BH29" s="79">
        <v>-16589.919999999998</v>
      </c>
      <c r="BI29" s="79">
        <v>-16589.919999999998</v>
      </c>
      <c r="BJ29" s="79">
        <v>-16589.919999999998</v>
      </c>
      <c r="BK29" s="79">
        <v>-16589.919999999998</v>
      </c>
      <c r="BL29" s="79">
        <v>-16589.919999999998</v>
      </c>
      <c r="BM29" s="79">
        <v>-16589.919999999998</v>
      </c>
      <c r="BN29" s="79">
        <v>-16589.919999999998</v>
      </c>
      <c r="BO29" s="79">
        <v>-16589.919999999998</v>
      </c>
      <c r="BP29" s="79">
        <v>-16589.919999999998</v>
      </c>
      <c r="BQ29" s="79">
        <v>-16589.919999999998</v>
      </c>
      <c r="BR29" s="79">
        <v>-62495.94</v>
      </c>
      <c r="BS29" s="79">
        <v>0</v>
      </c>
      <c r="BT29" s="79">
        <v>0</v>
      </c>
      <c r="BU29" s="79">
        <v>0</v>
      </c>
      <c r="BV29" s="79">
        <v>0</v>
      </c>
      <c r="BW29" s="79">
        <v>0</v>
      </c>
      <c r="BX29" s="79">
        <v>0</v>
      </c>
      <c r="BY29" s="79">
        <v>0</v>
      </c>
      <c r="BZ29" s="79">
        <v>0</v>
      </c>
      <c r="CA29" s="79">
        <v>0</v>
      </c>
      <c r="CB29" s="79">
        <v>0</v>
      </c>
      <c r="CC29" s="79">
        <v>0</v>
      </c>
    </row>
    <row r="30" spans="2:81" x14ac:dyDescent="0.25">
      <c r="B30" s="84" t="s">
        <v>115</v>
      </c>
      <c r="C30" s="79">
        <v>-2791.18</v>
      </c>
      <c r="D30" s="79">
        <v>0</v>
      </c>
      <c r="E30" s="79">
        <v>0</v>
      </c>
      <c r="F30" s="79">
        <v>0</v>
      </c>
      <c r="G30" s="79">
        <v>0</v>
      </c>
      <c r="H30" s="79">
        <v>0</v>
      </c>
      <c r="I30" s="79">
        <v>0</v>
      </c>
      <c r="J30" s="79">
        <v>0</v>
      </c>
      <c r="K30" s="79">
        <v>0</v>
      </c>
      <c r="L30" s="79">
        <v>-15918.37</v>
      </c>
      <c r="M30" s="79">
        <v>-234.43</v>
      </c>
      <c r="N30" s="79">
        <v>-23324.99</v>
      </c>
      <c r="O30" s="79">
        <v>-2791.18</v>
      </c>
      <c r="P30" s="79">
        <v>-52297.94</v>
      </c>
      <c r="Q30" s="79">
        <v>0</v>
      </c>
      <c r="R30" s="79">
        <v>0</v>
      </c>
      <c r="S30" s="79">
        <v>0</v>
      </c>
      <c r="T30" s="79">
        <v>0</v>
      </c>
      <c r="U30" s="79">
        <v>0</v>
      </c>
      <c r="V30" s="79">
        <v>0</v>
      </c>
      <c r="W30" s="79">
        <v>0</v>
      </c>
      <c r="X30" s="79">
        <v>0</v>
      </c>
      <c r="Y30" s="79">
        <v>0</v>
      </c>
      <c r="Z30" s="79">
        <v>-15918.37</v>
      </c>
      <c r="AA30" s="79">
        <v>15683.94</v>
      </c>
      <c r="AB30" s="79">
        <v>-23090.560000000001</v>
      </c>
      <c r="AC30" s="79">
        <v>20533.810000000001</v>
      </c>
      <c r="AD30" s="79">
        <v>-49506.76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 s="79">
        <v>0</v>
      </c>
      <c r="BF30" s="79">
        <v>0</v>
      </c>
      <c r="BG30" s="79">
        <v>0</v>
      </c>
      <c r="BH30" s="79">
        <v>0</v>
      </c>
      <c r="BI30" s="79">
        <v>0</v>
      </c>
      <c r="BJ30" s="79">
        <v>0</v>
      </c>
      <c r="BK30" s="79">
        <v>0</v>
      </c>
      <c r="BL30" s="79">
        <v>0</v>
      </c>
      <c r="BM30" s="79">
        <v>0</v>
      </c>
      <c r="BN30" s="79">
        <v>0</v>
      </c>
      <c r="BO30" s="79">
        <v>0</v>
      </c>
      <c r="BP30" s="79">
        <v>0</v>
      </c>
      <c r="BQ30" s="79">
        <v>0</v>
      </c>
      <c r="BR30" s="79">
        <v>0</v>
      </c>
      <c r="BS30" s="79">
        <v>0</v>
      </c>
      <c r="BT30" s="79">
        <v>0</v>
      </c>
      <c r="BU30" s="79">
        <v>0</v>
      </c>
      <c r="BV30" s="79">
        <v>0</v>
      </c>
      <c r="BW30" s="79">
        <v>0</v>
      </c>
      <c r="BX30" s="79">
        <v>0</v>
      </c>
      <c r="BY30" s="79">
        <v>0</v>
      </c>
      <c r="BZ30" s="79">
        <v>0</v>
      </c>
      <c r="CA30" s="79">
        <v>0</v>
      </c>
      <c r="CB30" s="79">
        <v>0</v>
      </c>
      <c r="CC30" s="79">
        <v>0</v>
      </c>
    </row>
    <row r="31" spans="2:81" x14ac:dyDescent="0.25">
      <c r="B31" s="84" t="s">
        <v>226</v>
      </c>
      <c r="C31" s="79">
        <v>3978.01</v>
      </c>
      <c r="D31" s="79">
        <v>0</v>
      </c>
      <c r="E31" s="79">
        <v>0</v>
      </c>
      <c r="F31" s="79">
        <v>0</v>
      </c>
      <c r="G31" s="79">
        <v>0</v>
      </c>
      <c r="H31" s="79">
        <v>3978.01</v>
      </c>
      <c r="I31" s="79">
        <v>3978.01</v>
      </c>
      <c r="J31" s="79">
        <v>3978.01</v>
      </c>
      <c r="K31" s="79">
        <v>3978.01</v>
      </c>
      <c r="L31" s="79">
        <v>3978.01</v>
      </c>
      <c r="M31" s="79">
        <v>3978.01</v>
      </c>
      <c r="N31" s="79">
        <v>3978.01</v>
      </c>
      <c r="O31" s="79">
        <v>3978.01</v>
      </c>
      <c r="P31" s="79">
        <v>3981.91</v>
      </c>
      <c r="Q31" s="79">
        <v>0</v>
      </c>
      <c r="R31" s="79">
        <v>0</v>
      </c>
      <c r="S31" s="79">
        <v>0</v>
      </c>
      <c r="T31" s="79">
        <v>0</v>
      </c>
      <c r="U31" s="79">
        <v>0</v>
      </c>
      <c r="V31" s="79">
        <v>3978.01</v>
      </c>
      <c r="W31" s="79">
        <v>0</v>
      </c>
      <c r="X31" s="79">
        <v>0</v>
      </c>
      <c r="Y31" s="79">
        <v>0</v>
      </c>
      <c r="Z31" s="79">
        <v>0</v>
      </c>
      <c r="AA31" s="79">
        <v>0</v>
      </c>
      <c r="AB31" s="79">
        <v>0</v>
      </c>
      <c r="AC31" s="79">
        <v>0</v>
      </c>
      <c r="AD31" s="79">
        <v>3.9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-3981.91</v>
      </c>
      <c r="BE31" s="79">
        <v>0</v>
      </c>
      <c r="BF31" s="79">
        <v>0</v>
      </c>
      <c r="BG31" s="79">
        <v>0</v>
      </c>
      <c r="BH31" s="79">
        <v>0</v>
      </c>
      <c r="BI31" s="79">
        <v>0</v>
      </c>
      <c r="BJ31" s="79">
        <v>0</v>
      </c>
      <c r="BK31" s="79">
        <v>0</v>
      </c>
      <c r="BL31" s="79">
        <v>0</v>
      </c>
      <c r="BM31" s="79">
        <v>0</v>
      </c>
      <c r="BN31" s="79">
        <v>0</v>
      </c>
      <c r="BO31" s="79">
        <v>0</v>
      </c>
      <c r="BP31" s="79">
        <v>0</v>
      </c>
      <c r="BQ31" s="79">
        <v>0</v>
      </c>
      <c r="BR31" s="79">
        <v>0</v>
      </c>
      <c r="BS31" s="79">
        <v>0</v>
      </c>
      <c r="BT31" s="79">
        <v>0</v>
      </c>
      <c r="BU31" s="79">
        <v>0</v>
      </c>
      <c r="BV31" s="79">
        <v>0</v>
      </c>
      <c r="BW31" s="79">
        <v>0</v>
      </c>
      <c r="BX31" s="79">
        <v>0</v>
      </c>
      <c r="BY31" s="79">
        <v>0</v>
      </c>
      <c r="BZ31" s="79">
        <v>0</v>
      </c>
      <c r="CA31" s="79">
        <v>0</v>
      </c>
      <c r="CB31" s="79">
        <v>0</v>
      </c>
      <c r="CC31" s="79">
        <v>0</v>
      </c>
    </row>
    <row r="32" spans="2:81" x14ac:dyDescent="0.25">
      <c r="B32" s="84" t="s">
        <v>227</v>
      </c>
      <c r="C32" s="79">
        <v>-10.14</v>
      </c>
      <c r="D32" s="79">
        <v>0</v>
      </c>
      <c r="E32" s="79">
        <v>0</v>
      </c>
      <c r="F32" s="79">
        <v>0</v>
      </c>
      <c r="G32" s="79">
        <v>155.78</v>
      </c>
      <c r="H32" s="79">
        <v>0</v>
      </c>
      <c r="I32" s="79">
        <v>0</v>
      </c>
      <c r="J32" s="79">
        <v>-169.48</v>
      </c>
      <c r="K32" s="79">
        <v>-160.62</v>
      </c>
      <c r="L32" s="79">
        <v>-156.63999999999999</v>
      </c>
      <c r="M32" s="79">
        <v>-109.99</v>
      </c>
      <c r="N32" s="79">
        <v>-156.63999999999999</v>
      </c>
      <c r="O32" s="79">
        <v>-10.14</v>
      </c>
      <c r="P32" s="79">
        <v>-156.63999999999999</v>
      </c>
      <c r="Q32" s="79">
        <v>-272.38</v>
      </c>
      <c r="R32" s="79">
        <v>-89.64</v>
      </c>
      <c r="S32" s="79">
        <v>0</v>
      </c>
      <c r="T32" s="79">
        <v>0</v>
      </c>
      <c r="U32" s="79">
        <v>155.78</v>
      </c>
      <c r="V32" s="79">
        <v>-155.78</v>
      </c>
      <c r="W32" s="79">
        <v>0</v>
      </c>
      <c r="X32" s="79">
        <v>-169.48</v>
      </c>
      <c r="Y32" s="79">
        <v>8.86</v>
      </c>
      <c r="Z32" s="79">
        <v>3.98</v>
      </c>
      <c r="AA32" s="79">
        <v>46.65</v>
      </c>
      <c r="AB32" s="79">
        <v>-46.65</v>
      </c>
      <c r="AC32" s="79">
        <v>146.5</v>
      </c>
      <c r="AD32" s="79">
        <v>-146.5</v>
      </c>
      <c r="AE32">
        <v>0</v>
      </c>
      <c r="AF32">
        <v>0</v>
      </c>
      <c r="AG32">
        <v>72.03</v>
      </c>
      <c r="AH32">
        <v>136.65</v>
      </c>
      <c r="AI32">
        <v>196.35</v>
      </c>
      <c r="AJ32">
        <v>150.81</v>
      </c>
      <c r="AK32">
        <v>188.33</v>
      </c>
      <c r="AL32">
        <v>110.11</v>
      </c>
      <c r="AM32">
        <v>148.86000000000001</v>
      </c>
      <c r="AN32">
        <v>133.29</v>
      </c>
      <c r="AO32">
        <v>62.86</v>
      </c>
      <c r="AP32">
        <v>151.41999999999999</v>
      </c>
      <c r="AQ32">
        <v>0</v>
      </c>
      <c r="AR32">
        <v>0</v>
      </c>
      <c r="AS32">
        <v>72.03</v>
      </c>
      <c r="AT32">
        <v>64.62</v>
      </c>
      <c r="AU32">
        <v>59.7</v>
      </c>
      <c r="AV32">
        <v>-45.54</v>
      </c>
      <c r="AW32">
        <v>37.520000000000003</v>
      </c>
      <c r="AX32">
        <v>-78.22</v>
      </c>
      <c r="AY32">
        <v>38.75</v>
      </c>
      <c r="AZ32">
        <v>-15.57</v>
      </c>
      <c r="BA32">
        <v>-70.430000000000007</v>
      </c>
      <c r="BB32">
        <v>88.56</v>
      </c>
      <c r="BC32">
        <v>-700</v>
      </c>
      <c r="BD32">
        <v>-700</v>
      </c>
      <c r="BE32" s="79">
        <v>0</v>
      </c>
      <c r="BF32" s="79">
        <v>-74.430000000000007</v>
      </c>
      <c r="BG32" s="79">
        <v>-150.85</v>
      </c>
      <c r="BH32" s="79">
        <v>-150.85</v>
      </c>
      <c r="BI32" s="79">
        <v>-150.85</v>
      </c>
      <c r="BJ32" s="79">
        <v>-150.85</v>
      </c>
      <c r="BK32" s="79">
        <v>-150.85</v>
      </c>
      <c r="BL32" s="79">
        <v>-150.85</v>
      </c>
      <c r="BM32" s="79">
        <v>-150.85</v>
      </c>
      <c r="BN32" s="79">
        <v>-150.85</v>
      </c>
      <c r="BO32" s="79">
        <v>-150.85</v>
      </c>
      <c r="BP32" s="79">
        <v>-150.85</v>
      </c>
      <c r="BQ32" s="79">
        <v>-150.85</v>
      </c>
      <c r="BR32" s="79">
        <v>-150.85</v>
      </c>
      <c r="BS32" s="79">
        <v>-76.42</v>
      </c>
      <c r="BT32" s="79">
        <v>0</v>
      </c>
      <c r="BU32" s="79">
        <v>0</v>
      </c>
      <c r="BV32" s="79">
        <v>0</v>
      </c>
      <c r="BW32" s="79">
        <v>0</v>
      </c>
      <c r="BX32" s="79">
        <v>0</v>
      </c>
      <c r="BY32" s="79">
        <v>0</v>
      </c>
      <c r="BZ32" s="79">
        <v>0</v>
      </c>
      <c r="CA32" s="79">
        <v>0</v>
      </c>
      <c r="CB32" s="79">
        <v>0</v>
      </c>
      <c r="CC32" s="79">
        <v>0</v>
      </c>
    </row>
    <row r="33" spans="2:81" x14ac:dyDescent="0.25">
      <c r="B33" s="84" t="s">
        <v>228</v>
      </c>
      <c r="C33" s="79">
        <v>98.26</v>
      </c>
      <c r="D33" s="79">
        <v>0</v>
      </c>
      <c r="E33" s="79">
        <v>0</v>
      </c>
      <c r="F33" s="79">
        <v>0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  <c r="O33" s="79">
        <v>98.26</v>
      </c>
      <c r="P33" s="79">
        <v>0</v>
      </c>
      <c r="Q33" s="79">
        <v>0</v>
      </c>
      <c r="R33" s="79">
        <v>0</v>
      </c>
      <c r="S33" s="79">
        <v>0</v>
      </c>
      <c r="T33" s="79">
        <v>0</v>
      </c>
      <c r="U33" s="79">
        <v>0</v>
      </c>
      <c r="V33" s="79">
        <v>0</v>
      </c>
      <c r="W33" s="79">
        <v>0</v>
      </c>
      <c r="X33" s="79">
        <v>0</v>
      </c>
      <c r="Y33" s="79">
        <v>0</v>
      </c>
      <c r="Z33" s="79">
        <v>0</v>
      </c>
      <c r="AA33" s="79">
        <v>0</v>
      </c>
      <c r="AB33" s="79">
        <v>0</v>
      </c>
      <c r="AC33" s="79">
        <v>98.26</v>
      </c>
      <c r="AD33" s="79">
        <v>-98.26</v>
      </c>
      <c r="AE33">
        <v>0</v>
      </c>
      <c r="AF33">
        <v>0</v>
      </c>
      <c r="AG33">
        <v>41.86</v>
      </c>
      <c r="AH33">
        <v>41.86</v>
      </c>
      <c r="AI33">
        <v>71.52</v>
      </c>
      <c r="AJ33">
        <v>78.319999999999993</v>
      </c>
      <c r="AK33">
        <v>0</v>
      </c>
      <c r="AL33">
        <v>146.41</v>
      </c>
      <c r="AM33">
        <v>42.9</v>
      </c>
      <c r="AN33">
        <v>67.39</v>
      </c>
      <c r="AO33">
        <v>51.02</v>
      </c>
      <c r="AP33">
        <v>61.41</v>
      </c>
      <c r="AQ33">
        <v>0</v>
      </c>
      <c r="AR33">
        <v>0</v>
      </c>
      <c r="AS33">
        <v>41.86</v>
      </c>
      <c r="AT33">
        <v>0</v>
      </c>
      <c r="AU33">
        <v>29.66</v>
      </c>
      <c r="AV33">
        <v>6.8</v>
      </c>
      <c r="AW33">
        <v>-78.319999999999993</v>
      </c>
      <c r="AX33">
        <v>146.41</v>
      </c>
      <c r="AY33">
        <v>-103.51</v>
      </c>
      <c r="AZ33">
        <v>24.49</v>
      </c>
      <c r="BA33">
        <v>-16.37</v>
      </c>
      <c r="BB33">
        <v>10.39</v>
      </c>
      <c r="BC33">
        <v>7.1054273576010019E-15</v>
      </c>
      <c r="BD33">
        <v>0</v>
      </c>
      <c r="BE33" s="79">
        <v>0</v>
      </c>
      <c r="BF33" s="79">
        <v>5.5</v>
      </c>
      <c r="BG33" s="79">
        <v>5.5</v>
      </c>
      <c r="BH33" s="79">
        <v>5.5</v>
      </c>
      <c r="BI33" s="79">
        <v>5.5</v>
      </c>
      <c r="BJ33" s="79">
        <v>5.5</v>
      </c>
      <c r="BK33" s="79">
        <v>5.5</v>
      </c>
      <c r="BL33" s="79">
        <v>5.5</v>
      </c>
      <c r="BM33" s="79">
        <v>5.5</v>
      </c>
      <c r="BN33" s="79">
        <v>5.5</v>
      </c>
      <c r="BO33" s="79">
        <v>5.5</v>
      </c>
      <c r="BP33" s="79">
        <v>5.5</v>
      </c>
      <c r="BQ33" s="79">
        <v>5.5</v>
      </c>
      <c r="BR33" s="79">
        <v>0</v>
      </c>
      <c r="BS33" s="79">
        <v>0</v>
      </c>
      <c r="BT33" s="79">
        <v>0</v>
      </c>
      <c r="BU33" s="79">
        <v>0</v>
      </c>
      <c r="BV33" s="79">
        <v>0</v>
      </c>
      <c r="BW33" s="79">
        <v>0</v>
      </c>
      <c r="BX33" s="79">
        <v>0</v>
      </c>
      <c r="BY33" s="79">
        <v>0</v>
      </c>
      <c r="BZ33" s="79">
        <v>0</v>
      </c>
      <c r="CA33" s="79">
        <v>0</v>
      </c>
      <c r="CB33" s="79">
        <v>0</v>
      </c>
      <c r="CC33" s="79">
        <v>0</v>
      </c>
    </row>
    <row r="34" spans="2:81" x14ac:dyDescent="0.25">
      <c r="B34" s="84" t="s">
        <v>158</v>
      </c>
      <c r="C34" s="79">
        <v>30.89</v>
      </c>
      <c r="D34" s="79">
        <v>0</v>
      </c>
      <c r="E34" s="79">
        <v>0</v>
      </c>
      <c r="F34" s="79">
        <v>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0</v>
      </c>
      <c r="M34" s="79">
        <v>39.93</v>
      </c>
      <c r="N34" s="79">
        <v>20.6</v>
      </c>
      <c r="O34" s="79">
        <v>30.89</v>
      </c>
      <c r="P34" s="79">
        <v>0</v>
      </c>
      <c r="Q34" s="79">
        <v>0</v>
      </c>
      <c r="R34" s="79">
        <v>0</v>
      </c>
      <c r="S34" s="79">
        <v>0</v>
      </c>
      <c r="T34" s="79">
        <v>0</v>
      </c>
      <c r="U34" s="79">
        <v>0</v>
      </c>
      <c r="V34" s="79">
        <v>0</v>
      </c>
      <c r="W34" s="79">
        <v>0</v>
      </c>
      <c r="X34" s="79">
        <v>0</v>
      </c>
      <c r="Y34" s="79">
        <v>0</v>
      </c>
      <c r="Z34" s="79">
        <v>0</v>
      </c>
      <c r="AA34" s="79">
        <v>39.93</v>
      </c>
      <c r="AB34" s="79">
        <v>-19.329999999999998</v>
      </c>
      <c r="AC34" s="79">
        <v>10.29</v>
      </c>
      <c r="AD34" s="79">
        <v>-30.89</v>
      </c>
      <c r="AE34">
        <v>407</v>
      </c>
      <c r="AF34">
        <v>855.94</v>
      </c>
      <c r="AG34">
        <v>93.6</v>
      </c>
      <c r="AH34">
        <v>920.85</v>
      </c>
      <c r="AI34">
        <v>0</v>
      </c>
      <c r="AJ34">
        <v>75.3</v>
      </c>
      <c r="AK34">
        <v>0</v>
      </c>
      <c r="AL34">
        <v>261.5</v>
      </c>
      <c r="AM34">
        <v>108.47</v>
      </c>
      <c r="AN34">
        <v>65</v>
      </c>
      <c r="AO34">
        <v>76.42</v>
      </c>
      <c r="AP34">
        <v>156.84</v>
      </c>
      <c r="AQ34">
        <v>407</v>
      </c>
      <c r="AR34">
        <v>448.94</v>
      </c>
      <c r="AS34">
        <v>-762.34</v>
      </c>
      <c r="AT34">
        <v>827.25</v>
      </c>
      <c r="AU34">
        <v>-920.85</v>
      </c>
      <c r="AV34">
        <v>75.3</v>
      </c>
      <c r="AW34">
        <v>-75.3</v>
      </c>
      <c r="AX34">
        <v>261.5</v>
      </c>
      <c r="AY34">
        <v>-153.03</v>
      </c>
      <c r="AZ34">
        <v>-43.47</v>
      </c>
      <c r="BA34">
        <v>11.42</v>
      </c>
      <c r="BB34">
        <v>80.42</v>
      </c>
      <c r="BC34">
        <v>0</v>
      </c>
      <c r="BD34">
        <v>0</v>
      </c>
      <c r="BE34" s="79">
        <v>0</v>
      </c>
      <c r="BF34" s="79">
        <v>-156.84</v>
      </c>
      <c r="BG34" s="79">
        <v>-156.84</v>
      </c>
      <c r="BH34" s="79">
        <v>-156.84</v>
      </c>
      <c r="BI34" s="79">
        <v>-156.84</v>
      </c>
      <c r="BJ34" s="79">
        <v>-156.84</v>
      </c>
      <c r="BK34" s="79">
        <v>-156.84</v>
      </c>
      <c r="BL34" s="79">
        <v>-156.84</v>
      </c>
      <c r="BM34" s="79">
        <v>-156.84</v>
      </c>
      <c r="BN34" s="79">
        <v>-156.84</v>
      </c>
      <c r="BO34" s="79">
        <v>-156.84</v>
      </c>
      <c r="BP34" s="79">
        <v>-156.84</v>
      </c>
      <c r="BQ34" s="79">
        <v>-156.84</v>
      </c>
      <c r="BR34" s="79">
        <v>-1450.68</v>
      </c>
      <c r="BS34" s="79">
        <v>0</v>
      </c>
      <c r="BT34" s="79">
        <v>0</v>
      </c>
      <c r="BU34" s="79">
        <v>0</v>
      </c>
      <c r="BV34" s="79">
        <v>0</v>
      </c>
      <c r="BW34" s="79">
        <v>0</v>
      </c>
      <c r="BX34" s="79">
        <v>0</v>
      </c>
      <c r="BY34" s="79">
        <v>0</v>
      </c>
      <c r="BZ34" s="79">
        <v>0</v>
      </c>
      <c r="CA34" s="79">
        <v>0</v>
      </c>
      <c r="CB34" s="79">
        <v>0</v>
      </c>
      <c r="CC34" s="79">
        <v>0</v>
      </c>
    </row>
    <row r="35" spans="2:81" x14ac:dyDescent="0.25">
      <c r="B35" s="84" t="s">
        <v>132</v>
      </c>
      <c r="C35" s="79">
        <v>669.88</v>
      </c>
      <c r="D35" s="79">
        <v>0</v>
      </c>
      <c r="E35" s="79">
        <v>0</v>
      </c>
      <c r="F35" s="79">
        <v>0</v>
      </c>
      <c r="G35" s="79">
        <v>0</v>
      </c>
      <c r="H35" s="79">
        <v>0</v>
      </c>
      <c r="I35" s="79">
        <v>0</v>
      </c>
      <c r="J35" s="79">
        <v>46875</v>
      </c>
      <c r="K35" s="79">
        <v>47544.88</v>
      </c>
      <c r="L35" s="79">
        <v>47544.88</v>
      </c>
      <c r="M35" s="79">
        <v>669.88</v>
      </c>
      <c r="N35" s="79">
        <v>669.88</v>
      </c>
      <c r="O35" s="79">
        <v>669.88</v>
      </c>
      <c r="P35" s="79">
        <v>0</v>
      </c>
      <c r="Q35" s="79">
        <v>-95.86</v>
      </c>
      <c r="R35" s="79">
        <v>160.41999999999999</v>
      </c>
      <c r="S35" s="79">
        <v>0</v>
      </c>
      <c r="T35" s="79">
        <v>0</v>
      </c>
      <c r="U35" s="79">
        <v>0</v>
      </c>
      <c r="V35" s="79">
        <v>0</v>
      </c>
      <c r="W35" s="79">
        <v>0</v>
      </c>
      <c r="X35" s="79">
        <v>46875</v>
      </c>
      <c r="Y35" s="79">
        <v>669.88</v>
      </c>
      <c r="Z35" s="79">
        <v>0</v>
      </c>
      <c r="AA35" s="79">
        <v>-46875</v>
      </c>
      <c r="AB35" s="79">
        <v>0</v>
      </c>
      <c r="AC35" s="79">
        <v>0</v>
      </c>
      <c r="AD35" s="79">
        <v>-669.88</v>
      </c>
      <c r="AE35">
        <v>-66738.97</v>
      </c>
      <c r="AF35">
        <v>-66738.97</v>
      </c>
      <c r="AG35">
        <v>-66738.97</v>
      </c>
      <c r="AH35">
        <v>-66738.97</v>
      </c>
      <c r="AI35">
        <v>-66738.97</v>
      </c>
      <c r="AJ35">
        <v>-66738.97</v>
      </c>
      <c r="AK35">
        <v>-66738.97</v>
      </c>
      <c r="AL35">
        <v>-66738.97</v>
      </c>
      <c r="AM35">
        <v>-66738.97</v>
      </c>
      <c r="AN35">
        <v>-66738.97</v>
      </c>
      <c r="AO35">
        <v>-66738.97</v>
      </c>
      <c r="AP35">
        <v>3421.7</v>
      </c>
      <c r="AQ35">
        <v>-66738.97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70160.67</v>
      </c>
      <c r="BC35">
        <v>0</v>
      </c>
      <c r="BD35">
        <v>0</v>
      </c>
      <c r="BE35" s="79">
        <v>0</v>
      </c>
      <c r="BF35" s="79">
        <v>66738.97</v>
      </c>
      <c r="BG35" s="79">
        <v>66738.97</v>
      </c>
      <c r="BH35" s="79">
        <v>66738.97</v>
      </c>
      <c r="BI35" s="79">
        <v>66738.97</v>
      </c>
      <c r="BJ35" s="79">
        <v>66738.97</v>
      </c>
      <c r="BK35" s="79">
        <v>66738.97</v>
      </c>
      <c r="BL35" s="79">
        <v>66738.97</v>
      </c>
      <c r="BM35" s="79">
        <v>66738.97</v>
      </c>
      <c r="BN35" s="79">
        <v>66738.97</v>
      </c>
      <c r="BO35" s="79">
        <v>66738.97</v>
      </c>
      <c r="BP35" s="79">
        <v>66738.97</v>
      </c>
      <c r="BQ35" s="79">
        <v>66738.97</v>
      </c>
      <c r="BR35" s="79">
        <v>0</v>
      </c>
      <c r="BS35" s="79">
        <v>0</v>
      </c>
      <c r="BT35" s="79">
        <v>0</v>
      </c>
      <c r="BU35" s="79">
        <v>0</v>
      </c>
      <c r="BV35" s="79">
        <v>0</v>
      </c>
      <c r="BW35" s="79">
        <v>0</v>
      </c>
      <c r="BX35" s="79">
        <v>0</v>
      </c>
      <c r="BY35" s="79">
        <v>0</v>
      </c>
      <c r="BZ35" s="79">
        <v>0</v>
      </c>
      <c r="CA35" s="79">
        <v>0</v>
      </c>
      <c r="CB35" s="79">
        <v>0</v>
      </c>
      <c r="CC35" s="79">
        <v>0</v>
      </c>
    </row>
    <row r="36" spans="2:81" x14ac:dyDescent="0.25">
      <c r="B36" s="84" t="s">
        <v>159</v>
      </c>
      <c r="C36" s="79">
        <v>0</v>
      </c>
      <c r="D36" s="79">
        <v>0</v>
      </c>
      <c r="E36" s="79">
        <v>0</v>
      </c>
      <c r="F36" s="79">
        <v>0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0</v>
      </c>
      <c r="M36" s="79">
        <v>0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S36" s="79">
        <v>0</v>
      </c>
      <c r="T36" s="79">
        <v>0</v>
      </c>
      <c r="U36" s="79">
        <v>0</v>
      </c>
      <c r="V36" s="79">
        <v>0</v>
      </c>
      <c r="W36" s="79">
        <v>0</v>
      </c>
      <c r="X36" s="79">
        <v>0</v>
      </c>
      <c r="Y36" s="79">
        <v>0</v>
      </c>
      <c r="Z36" s="79">
        <v>0</v>
      </c>
      <c r="AA36" s="79">
        <v>0</v>
      </c>
      <c r="AB36" s="79">
        <v>0</v>
      </c>
      <c r="AC36" s="79">
        <v>0</v>
      </c>
      <c r="AD36" s="79">
        <v>0</v>
      </c>
      <c r="AE36">
        <v>0</v>
      </c>
      <c r="AF36">
        <v>0</v>
      </c>
      <c r="AG36">
        <v>0</v>
      </c>
      <c r="AH36">
        <v>0</v>
      </c>
      <c r="AI36">
        <v>0.01</v>
      </c>
      <c r="AJ36">
        <v>0.01</v>
      </c>
      <c r="AK36">
        <v>0.01</v>
      </c>
      <c r="AL36">
        <v>0.02</v>
      </c>
      <c r="AM36">
        <v>0.02</v>
      </c>
      <c r="AN36">
        <v>0.03</v>
      </c>
      <c r="AO36">
        <v>0.03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0.01</v>
      </c>
      <c r="AV36">
        <v>0</v>
      </c>
      <c r="AW36">
        <v>0</v>
      </c>
      <c r="AX36">
        <v>0.01</v>
      </c>
      <c r="AY36">
        <v>0</v>
      </c>
      <c r="AZ36">
        <v>0.01</v>
      </c>
      <c r="BA36">
        <v>0</v>
      </c>
      <c r="BB36">
        <v>-0.03</v>
      </c>
      <c r="BC36">
        <v>0</v>
      </c>
      <c r="BD36">
        <v>0</v>
      </c>
      <c r="BE36" s="79">
        <v>0</v>
      </c>
      <c r="BF36" s="79">
        <v>-4238.97</v>
      </c>
      <c r="BG36" s="79">
        <v>-4238.97</v>
      </c>
      <c r="BH36" s="79">
        <v>-4238.97</v>
      </c>
      <c r="BI36" s="79">
        <v>-4238.97</v>
      </c>
      <c r="BJ36" s="79">
        <v>-4238.97</v>
      </c>
      <c r="BK36" s="79">
        <v>-4238.97</v>
      </c>
      <c r="BL36" s="79">
        <v>-4238.97</v>
      </c>
      <c r="BM36" s="79">
        <v>-4238.97</v>
      </c>
      <c r="BN36" s="79">
        <v>-4238.97</v>
      </c>
      <c r="BO36" s="79">
        <v>-4238.97</v>
      </c>
      <c r="BP36" s="79">
        <v>-4238.97</v>
      </c>
      <c r="BQ36" s="79">
        <v>-4238.97</v>
      </c>
      <c r="BR36" s="79">
        <v>-66738.97</v>
      </c>
      <c r="BS36" s="79">
        <v>0</v>
      </c>
      <c r="BT36" s="79">
        <v>0</v>
      </c>
      <c r="BU36" s="79">
        <v>0</v>
      </c>
      <c r="BV36" s="79">
        <v>0</v>
      </c>
      <c r="BW36" s="79">
        <v>0</v>
      </c>
      <c r="BX36" s="79">
        <v>0</v>
      </c>
      <c r="BY36" s="79">
        <v>0</v>
      </c>
      <c r="BZ36" s="79">
        <v>0</v>
      </c>
      <c r="CA36" s="79">
        <v>0</v>
      </c>
      <c r="CB36" s="79">
        <v>0</v>
      </c>
      <c r="CC36" s="79">
        <v>0</v>
      </c>
    </row>
    <row r="37" spans="2:81" x14ac:dyDescent="0.25">
      <c r="B37" s="84" t="s">
        <v>160</v>
      </c>
      <c r="C37" s="79">
        <v>-188797.78</v>
      </c>
      <c r="D37" s="79">
        <v>0</v>
      </c>
      <c r="E37" s="79">
        <v>0</v>
      </c>
      <c r="F37" s="79">
        <v>0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0</v>
      </c>
      <c r="M37" s="79">
        <v>0</v>
      </c>
      <c r="N37" s="79">
        <v>-103454.74</v>
      </c>
      <c r="O37" s="79">
        <v>-188797.78</v>
      </c>
      <c r="P37" s="79">
        <v>-293382.84999999998</v>
      </c>
      <c r="Q37" s="79">
        <v>0</v>
      </c>
      <c r="R37" s="79">
        <v>0</v>
      </c>
      <c r="S37" s="79">
        <v>0</v>
      </c>
      <c r="T37" s="79">
        <v>0</v>
      </c>
      <c r="U37" s="79">
        <v>0</v>
      </c>
      <c r="V37" s="79">
        <v>0</v>
      </c>
      <c r="W37" s="79">
        <v>0</v>
      </c>
      <c r="X37" s="79">
        <v>0</v>
      </c>
      <c r="Y37" s="79">
        <v>0</v>
      </c>
      <c r="Z37" s="79">
        <v>0</v>
      </c>
      <c r="AA37" s="79">
        <v>0</v>
      </c>
      <c r="AB37" s="79">
        <v>-103454.74</v>
      </c>
      <c r="AC37" s="79">
        <v>-85343.039999999994</v>
      </c>
      <c r="AD37" s="79">
        <v>-104585.07</v>
      </c>
      <c r="AE37">
        <v>-13471.18</v>
      </c>
      <c r="AF37">
        <v>-59523.81</v>
      </c>
      <c r="AG37">
        <v>-95495.03</v>
      </c>
      <c r="AH37">
        <v>-131466.25</v>
      </c>
      <c r="AI37">
        <v>-45805.07</v>
      </c>
      <c r="AJ37">
        <v>-64198.69</v>
      </c>
      <c r="AK37">
        <v>-125510.77</v>
      </c>
      <c r="AL37">
        <v>-189205.04</v>
      </c>
      <c r="AM37">
        <v>-189205.04</v>
      </c>
      <c r="AN37">
        <v>-189205.04</v>
      </c>
      <c r="AO37">
        <v>-252899.31</v>
      </c>
      <c r="AP37">
        <v>-252899.31</v>
      </c>
      <c r="AQ37">
        <v>-13471.18</v>
      </c>
      <c r="AR37">
        <v>-46052.63</v>
      </c>
      <c r="AS37">
        <v>-35971.22</v>
      </c>
      <c r="AT37">
        <v>-35971.22</v>
      </c>
      <c r="AU37">
        <v>85661.18</v>
      </c>
      <c r="AV37">
        <v>-18393.62</v>
      </c>
      <c r="AW37">
        <v>-61312.08</v>
      </c>
      <c r="AX37">
        <v>-63694.27</v>
      </c>
      <c r="AY37">
        <v>0</v>
      </c>
      <c r="AZ37">
        <v>0</v>
      </c>
      <c r="BA37">
        <v>-63694.27</v>
      </c>
      <c r="BB37">
        <v>0</v>
      </c>
      <c r="BC37">
        <v>-293382.84999999998</v>
      </c>
      <c r="BD37">
        <v>0</v>
      </c>
      <c r="BE37" s="79">
        <v>0</v>
      </c>
      <c r="BF37" s="79">
        <v>0</v>
      </c>
      <c r="BG37" s="79">
        <v>0</v>
      </c>
      <c r="BH37" s="79">
        <v>0</v>
      </c>
      <c r="BI37" s="79">
        <v>0</v>
      </c>
      <c r="BJ37" s="79">
        <v>0</v>
      </c>
      <c r="BK37" s="79">
        <v>0</v>
      </c>
      <c r="BL37" s="79">
        <v>0</v>
      </c>
      <c r="BM37" s="79">
        <v>0</v>
      </c>
      <c r="BN37" s="79">
        <v>0</v>
      </c>
      <c r="BO37" s="79">
        <v>0</v>
      </c>
      <c r="BP37" s="79">
        <v>0</v>
      </c>
      <c r="BQ37" s="79">
        <v>0</v>
      </c>
      <c r="BR37" s="79">
        <v>0</v>
      </c>
      <c r="BS37" s="79">
        <v>0</v>
      </c>
      <c r="BT37" s="79">
        <v>0</v>
      </c>
      <c r="BU37" s="79">
        <v>0</v>
      </c>
      <c r="BV37" s="79">
        <v>0</v>
      </c>
      <c r="BW37" s="79">
        <v>0</v>
      </c>
      <c r="BX37" s="79">
        <v>0</v>
      </c>
      <c r="BY37" s="79">
        <v>0</v>
      </c>
      <c r="BZ37" s="79">
        <v>0</v>
      </c>
      <c r="CA37" s="79">
        <v>0</v>
      </c>
      <c r="CB37" s="79">
        <v>0</v>
      </c>
      <c r="CC37" s="79">
        <v>0</v>
      </c>
    </row>
    <row r="38" spans="2:81" s="79" customFormat="1" x14ac:dyDescent="0.25">
      <c r="B38" s="84" t="s">
        <v>161</v>
      </c>
      <c r="C38" s="79">
        <v>190625</v>
      </c>
      <c r="D38" s="79">
        <v>0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0</v>
      </c>
      <c r="M38" s="79">
        <v>0</v>
      </c>
      <c r="N38" s="79">
        <v>103125</v>
      </c>
      <c r="O38" s="79">
        <v>190625</v>
      </c>
      <c r="P38" s="79">
        <v>296875</v>
      </c>
      <c r="Q38" s="79">
        <v>0</v>
      </c>
      <c r="R38" s="79">
        <v>0</v>
      </c>
      <c r="S38" s="79">
        <v>0</v>
      </c>
      <c r="T38" s="79">
        <v>0</v>
      </c>
      <c r="U38" s="79">
        <v>0</v>
      </c>
      <c r="V38" s="79">
        <v>0</v>
      </c>
      <c r="W38" s="79">
        <v>0</v>
      </c>
      <c r="X38" s="79">
        <v>0</v>
      </c>
      <c r="Y38" s="79">
        <v>0</v>
      </c>
      <c r="Z38" s="79">
        <v>0</v>
      </c>
      <c r="AA38" s="79">
        <v>0</v>
      </c>
      <c r="AB38" s="79">
        <v>103125</v>
      </c>
      <c r="AC38" s="79">
        <v>87500</v>
      </c>
      <c r="AD38" s="79">
        <v>106250</v>
      </c>
      <c r="AE38" s="79">
        <v>18750</v>
      </c>
      <c r="AF38" s="79">
        <v>62500</v>
      </c>
      <c r="AG38" s="79">
        <v>100000</v>
      </c>
      <c r="AH38" s="79">
        <v>137500</v>
      </c>
      <c r="AI38" s="79">
        <v>56250</v>
      </c>
      <c r="AJ38" s="79">
        <v>75000</v>
      </c>
      <c r="AK38" s="79">
        <v>137500</v>
      </c>
      <c r="AL38" s="79">
        <v>200000</v>
      </c>
      <c r="AM38" s="79">
        <v>197699.59</v>
      </c>
      <c r="AN38" s="79">
        <v>194925.44</v>
      </c>
      <c r="AO38" s="79">
        <v>257425.44</v>
      </c>
      <c r="AP38" s="79">
        <v>257425.44</v>
      </c>
      <c r="AQ38" s="79">
        <v>18750</v>
      </c>
      <c r="AR38" s="79">
        <v>43750</v>
      </c>
      <c r="AS38" s="79">
        <v>37500</v>
      </c>
      <c r="AT38" s="79">
        <v>37500</v>
      </c>
      <c r="AU38" s="79">
        <v>-81250</v>
      </c>
      <c r="AV38" s="79">
        <v>18750</v>
      </c>
      <c r="AW38" s="79">
        <v>62500</v>
      </c>
      <c r="AX38" s="79">
        <v>62500</v>
      </c>
      <c r="AY38" s="79">
        <v>-2300.41</v>
      </c>
      <c r="AZ38" s="79">
        <v>-2774.15</v>
      </c>
      <c r="BA38" s="79">
        <v>62500</v>
      </c>
      <c r="BB38" s="79">
        <v>0</v>
      </c>
      <c r="BC38" s="79">
        <v>296875</v>
      </c>
      <c r="BD38" s="79">
        <v>0</v>
      </c>
      <c r="BE38" s="79">
        <v>0</v>
      </c>
      <c r="BF38" s="79">
        <v>0</v>
      </c>
      <c r="BG38" s="79">
        <v>0</v>
      </c>
      <c r="BH38" s="79">
        <v>0</v>
      </c>
      <c r="BI38" s="79">
        <v>0</v>
      </c>
      <c r="BJ38" s="79">
        <v>0</v>
      </c>
      <c r="BK38" s="79">
        <v>0</v>
      </c>
      <c r="BL38" s="79">
        <v>0</v>
      </c>
      <c r="BM38" s="79">
        <v>0</v>
      </c>
      <c r="BN38" s="79">
        <v>0</v>
      </c>
      <c r="BO38" s="79">
        <v>0</v>
      </c>
      <c r="BP38" s="79">
        <v>0</v>
      </c>
      <c r="BQ38" s="79">
        <v>0</v>
      </c>
      <c r="BR38" s="79">
        <v>0</v>
      </c>
      <c r="BS38" s="79">
        <v>0</v>
      </c>
      <c r="BT38" s="79">
        <v>0</v>
      </c>
      <c r="BU38" s="79">
        <v>0</v>
      </c>
      <c r="BV38" s="79">
        <v>0</v>
      </c>
      <c r="BW38" s="79">
        <v>0</v>
      </c>
      <c r="BX38" s="79">
        <v>0</v>
      </c>
      <c r="BY38" s="79">
        <v>0</v>
      </c>
      <c r="BZ38" s="79">
        <v>0</v>
      </c>
      <c r="CA38" s="79">
        <v>0</v>
      </c>
      <c r="CB38" s="79">
        <v>0</v>
      </c>
      <c r="CC38" s="79">
        <v>0</v>
      </c>
    </row>
    <row r="39" spans="2:81" s="79" customFormat="1" x14ac:dyDescent="0.25">
      <c r="B39" s="84" t="s">
        <v>162</v>
      </c>
      <c r="C39" s="79">
        <v>0</v>
      </c>
      <c r="D39" s="79">
        <v>0</v>
      </c>
      <c r="E39" s="79">
        <v>0</v>
      </c>
      <c r="F39" s="79">
        <v>0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0</v>
      </c>
      <c r="M39" s="79">
        <v>0</v>
      </c>
      <c r="N39" s="79">
        <v>0</v>
      </c>
      <c r="O39" s="79">
        <v>0</v>
      </c>
      <c r="P39" s="79">
        <v>0</v>
      </c>
      <c r="Q39" s="79">
        <v>0</v>
      </c>
      <c r="R39" s="79">
        <v>0</v>
      </c>
      <c r="S39" s="79">
        <v>0</v>
      </c>
      <c r="T39" s="79">
        <v>0</v>
      </c>
      <c r="U39" s="79">
        <v>0</v>
      </c>
      <c r="V39" s="79">
        <v>0</v>
      </c>
      <c r="W39" s="79">
        <v>0</v>
      </c>
      <c r="X39" s="79">
        <v>0</v>
      </c>
      <c r="Y39" s="79">
        <v>0</v>
      </c>
      <c r="Z39" s="79">
        <v>0</v>
      </c>
      <c r="AA39" s="79">
        <v>0</v>
      </c>
      <c r="AB39" s="79">
        <v>0</v>
      </c>
      <c r="AC39" s="79">
        <v>0</v>
      </c>
      <c r="AD39" s="79">
        <v>0</v>
      </c>
      <c r="AE39" s="79">
        <v>1620</v>
      </c>
      <c r="AF39" s="79">
        <v>0</v>
      </c>
      <c r="AG39" s="79">
        <v>0</v>
      </c>
      <c r="AH39" s="79">
        <v>0</v>
      </c>
      <c r="AI39" s="79">
        <v>-7617.31</v>
      </c>
      <c r="AJ39" s="79">
        <v>-2848.83</v>
      </c>
      <c r="AK39" s="79">
        <v>-32278.51</v>
      </c>
      <c r="AL39" s="79">
        <v>-51301.65</v>
      </c>
      <c r="AM39" s="79">
        <v>-46108.83</v>
      </c>
      <c r="AN39" s="79">
        <v>-66283.149999999994</v>
      </c>
      <c r="AO39" s="79">
        <v>-62799.58</v>
      </c>
      <c r="AP39" s="79">
        <v>-55260.27</v>
      </c>
      <c r="AQ39" s="79">
        <v>1620</v>
      </c>
      <c r="AR39" s="79">
        <v>-1620</v>
      </c>
      <c r="AS39" s="79">
        <v>0</v>
      </c>
      <c r="AT39" s="79">
        <v>0</v>
      </c>
      <c r="AU39" s="79">
        <v>-7617.31</v>
      </c>
      <c r="AV39" s="79">
        <v>4768.4799999999996</v>
      </c>
      <c r="AW39" s="79">
        <v>-29429.68</v>
      </c>
      <c r="AX39" s="79">
        <v>-19023.14</v>
      </c>
      <c r="AY39" s="79">
        <v>5192.82</v>
      </c>
      <c r="AZ39" s="79">
        <v>-20174.32</v>
      </c>
      <c r="BA39" s="79">
        <v>3483.57</v>
      </c>
      <c r="BB39" s="79">
        <v>7539.31</v>
      </c>
      <c r="BC39" s="79">
        <v>0</v>
      </c>
      <c r="BD39" s="79">
        <v>0</v>
      </c>
      <c r="BE39" s="79">
        <v>0</v>
      </c>
      <c r="BF39" s="79">
        <v>37043.019999999997</v>
      </c>
      <c r="BG39" s="79">
        <v>55260.27</v>
      </c>
      <c r="BH39" s="79">
        <v>55260.27</v>
      </c>
      <c r="BI39" s="79">
        <v>55260.27</v>
      </c>
      <c r="BJ39" s="79">
        <v>55260.27</v>
      </c>
      <c r="BK39" s="79">
        <v>55260.27</v>
      </c>
      <c r="BL39" s="79">
        <v>55260.27</v>
      </c>
      <c r="BM39" s="79">
        <v>55260.27</v>
      </c>
      <c r="BN39" s="79">
        <v>55260.27</v>
      </c>
      <c r="BO39" s="79">
        <v>55260.27</v>
      </c>
      <c r="BP39" s="79">
        <v>55260.27</v>
      </c>
      <c r="BQ39" s="79">
        <v>55260.27</v>
      </c>
      <c r="BR39" s="79">
        <v>0</v>
      </c>
      <c r="BS39" s="79">
        <v>0</v>
      </c>
      <c r="BT39" s="79">
        <v>0</v>
      </c>
      <c r="BU39" s="79">
        <v>0</v>
      </c>
      <c r="BV39" s="79">
        <v>0</v>
      </c>
      <c r="BW39" s="79">
        <v>0</v>
      </c>
      <c r="BX39" s="79">
        <v>0</v>
      </c>
      <c r="BY39" s="79">
        <v>0</v>
      </c>
      <c r="BZ39" s="79">
        <v>0</v>
      </c>
      <c r="CA39" s="79">
        <v>0</v>
      </c>
      <c r="CB39" s="79">
        <v>0</v>
      </c>
      <c r="CC39" s="79">
        <v>0</v>
      </c>
    </row>
    <row r="40" spans="2:81" x14ac:dyDescent="0.25">
      <c r="B40" s="84" t="s">
        <v>163</v>
      </c>
      <c r="C40" s="79">
        <v>0</v>
      </c>
      <c r="D40" s="79">
        <v>0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9">
        <v>0</v>
      </c>
      <c r="S40" s="79">
        <v>0</v>
      </c>
      <c r="T40" s="79">
        <v>0</v>
      </c>
      <c r="U40" s="79">
        <v>0</v>
      </c>
      <c r="V40" s="79">
        <v>0</v>
      </c>
      <c r="W40" s="79">
        <v>0</v>
      </c>
      <c r="X40" s="79">
        <v>0</v>
      </c>
      <c r="Y40" s="79">
        <v>0</v>
      </c>
      <c r="Z40" s="79">
        <v>0</v>
      </c>
      <c r="AA40" s="79">
        <v>0</v>
      </c>
      <c r="AB40" s="79">
        <v>0</v>
      </c>
      <c r="AC40" s="79">
        <v>0</v>
      </c>
      <c r="AD40" s="79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 s="79">
        <v>0</v>
      </c>
      <c r="BF40" s="79">
        <v>-1678.95</v>
      </c>
      <c r="BG40" s="79">
        <v>-1678.95</v>
      </c>
      <c r="BH40" s="79">
        <v>-1678.95</v>
      </c>
      <c r="BI40" s="79">
        <v>-1678.95</v>
      </c>
      <c r="BJ40" s="79">
        <v>-1678.95</v>
      </c>
      <c r="BK40" s="79">
        <v>-1678.95</v>
      </c>
      <c r="BL40" s="79">
        <v>-1678.95</v>
      </c>
      <c r="BM40" s="79">
        <v>-1678.95</v>
      </c>
      <c r="BN40" s="79">
        <v>0</v>
      </c>
      <c r="BO40" s="79">
        <v>0</v>
      </c>
      <c r="BP40" s="79">
        <v>0</v>
      </c>
      <c r="BQ40" s="79">
        <v>0</v>
      </c>
      <c r="BR40" s="79">
        <v>-10684.32</v>
      </c>
      <c r="BS40" s="79">
        <v>-5012.7</v>
      </c>
      <c r="BT40" s="79">
        <v>0</v>
      </c>
      <c r="BU40" s="79">
        <v>0</v>
      </c>
      <c r="BV40" s="79">
        <v>0</v>
      </c>
      <c r="BW40" s="79">
        <v>0</v>
      </c>
      <c r="BX40" s="79">
        <v>0</v>
      </c>
      <c r="BY40" s="79">
        <v>0</v>
      </c>
      <c r="BZ40" s="79">
        <v>0</v>
      </c>
      <c r="CA40" s="79">
        <v>0</v>
      </c>
      <c r="CB40" s="79">
        <v>0</v>
      </c>
      <c r="CC40" s="79">
        <v>0</v>
      </c>
    </row>
    <row r="41" spans="2:81" x14ac:dyDescent="0.25">
      <c r="B41" s="84" t="s">
        <v>321</v>
      </c>
      <c r="C41" s="79">
        <v>0</v>
      </c>
      <c r="D41" s="79">
        <v>0</v>
      </c>
      <c r="E41" s="79">
        <v>0</v>
      </c>
      <c r="F41" s="79">
        <v>0</v>
      </c>
      <c r="G41" s="79">
        <v>0</v>
      </c>
      <c r="H41" s="79">
        <v>0</v>
      </c>
      <c r="I41" s="79">
        <v>0</v>
      </c>
      <c r="J41" s="79">
        <v>0</v>
      </c>
      <c r="K41" s="79">
        <v>0</v>
      </c>
      <c r="L41" s="79">
        <v>0</v>
      </c>
      <c r="M41" s="79">
        <v>0</v>
      </c>
      <c r="N41" s="79">
        <v>0</v>
      </c>
      <c r="O41" s="79">
        <v>0</v>
      </c>
      <c r="P41" s="79">
        <v>0</v>
      </c>
      <c r="Q41" s="79">
        <v>0</v>
      </c>
      <c r="R41" s="79">
        <v>0</v>
      </c>
      <c r="S41" s="79">
        <v>0</v>
      </c>
      <c r="T41" s="79">
        <v>0</v>
      </c>
      <c r="U41" s="79">
        <v>0</v>
      </c>
      <c r="V41" s="79">
        <v>0</v>
      </c>
      <c r="W41" s="79">
        <v>0</v>
      </c>
      <c r="X41" s="79">
        <v>0</v>
      </c>
      <c r="Y41" s="79">
        <v>0</v>
      </c>
      <c r="Z41" s="79">
        <v>0</v>
      </c>
      <c r="AA41" s="79">
        <v>0</v>
      </c>
      <c r="AB41" s="79">
        <v>0</v>
      </c>
      <c r="AC41" s="79">
        <v>0</v>
      </c>
      <c r="AD41" s="79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 s="79">
        <v>0</v>
      </c>
      <c r="BF41" s="79">
        <v>0</v>
      </c>
      <c r="BG41" s="79">
        <v>0</v>
      </c>
      <c r="BH41" s="79">
        <v>0</v>
      </c>
      <c r="BI41" s="79">
        <v>0</v>
      </c>
      <c r="BJ41" s="79">
        <v>0</v>
      </c>
      <c r="BK41" s="79">
        <v>0</v>
      </c>
      <c r="BL41" s="79">
        <v>0</v>
      </c>
      <c r="BM41" s="79">
        <v>0</v>
      </c>
      <c r="BN41" s="79">
        <v>0</v>
      </c>
      <c r="BO41" s="79">
        <v>0</v>
      </c>
      <c r="BP41" s="79">
        <v>0</v>
      </c>
      <c r="BQ41" s="79">
        <v>0</v>
      </c>
      <c r="BR41" s="79">
        <v>0</v>
      </c>
      <c r="BS41" s="79">
        <v>0</v>
      </c>
      <c r="BT41" s="79">
        <v>0</v>
      </c>
      <c r="BU41" s="79">
        <v>0</v>
      </c>
      <c r="BV41" s="79">
        <v>0</v>
      </c>
      <c r="BW41" s="79">
        <v>0</v>
      </c>
      <c r="BX41" s="79">
        <v>0</v>
      </c>
      <c r="BY41" s="79">
        <v>0</v>
      </c>
      <c r="BZ41" s="79">
        <v>0</v>
      </c>
      <c r="CA41" s="79">
        <v>0</v>
      </c>
      <c r="CB41" s="79">
        <v>0</v>
      </c>
      <c r="CC41" s="79">
        <v>0</v>
      </c>
    </row>
    <row r="42" spans="2:81" x14ac:dyDescent="0.25">
      <c r="B42" s="84" t="s">
        <v>114</v>
      </c>
      <c r="C42" s="79">
        <v>17513.740000000002</v>
      </c>
      <c r="D42" s="79">
        <v>12169.84</v>
      </c>
      <c r="E42" s="79">
        <v>-98759.77</v>
      </c>
      <c r="F42" s="79">
        <v>-241741.36</v>
      </c>
      <c r="G42" s="79">
        <v>-24378.49</v>
      </c>
      <c r="H42" s="79">
        <v>-81244.97</v>
      </c>
      <c r="I42" s="79">
        <v>-130726.83</v>
      </c>
      <c r="J42" s="79">
        <v>-25249.37</v>
      </c>
      <c r="K42" s="79">
        <v>-98925.5</v>
      </c>
      <c r="L42" s="79">
        <v>-63419.24</v>
      </c>
      <c r="M42" s="79">
        <v>65283.87</v>
      </c>
      <c r="N42" s="79">
        <v>22441.34</v>
      </c>
      <c r="O42" s="79">
        <v>5343.9</v>
      </c>
      <c r="P42" s="79">
        <v>21817.83</v>
      </c>
      <c r="Q42" s="79">
        <v>-9328.07</v>
      </c>
      <c r="R42" s="79">
        <v>-12470.76</v>
      </c>
      <c r="S42" s="79">
        <v>-98759.77</v>
      </c>
      <c r="T42" s="79">
        <v>-142981.59</v>
      </c>
      <c r="U42" s="79">
        <v>217362.87</v>
      </c>
      <c r="V42" s="79">
        <v>-56866.48</v>
      </c>
      <c r="W42" s="79">
        <v>-49481.86</v>
      </c>
      <c r="X42" s="79">
        <v>105477.46</v>
      </c>
      <c r="Y42" s="79">
        <v>-73676.13</v>
      </c>
      <c r="Z42" s="79">
        <v>35506.26</v>
      </c>
      <c r="AA42" s="79">
        <v>128703.11</v>
      </c>
      <c r="AB42" s="79">
        <v>-42842.53</v>
      </c>
      <c r="AC42" s="79">
        <v>-17097.439999999999</v>
      </c>
      <c r="AD42" s="79">
        <v>16473.93</v>
      </c>
      <c r="AE42">
        <v>41338.870000000003</v>
      </c>
      <c r="AF42">
        <v>125683.48</v>
      </c>
      <c r="AG42">
        <v>9728.51</v>
      </c>
      <c r="AH42">
        <v>55150.58</v>
      </c>
      <c r="AI42">
        <v>50654.35</v>
      </c>
      <c r="AJ42">
        <v>27325.06</v>
      </c>
      <c r="AK42">
        <v>61364.83</v>
      </c>
      <c r="AL42">
        <v>94006.46</v>
      </c>
      <c r="AM42">
        <v>-25574.880000000001</v>
      </c>
      <c r="AN42">
        <v>-17866.89</v>
      </c>
      <c r="AO42">
        <v>-29228.99</v>
      </c>
      <c r="AP42">
        <v>-29837.68</v>
      </c>
      <c r="AQ42">
        <v>41338.870000000003</v>
      </c>
      <c r="AR42">
        <v>84344.61</v>
      </c>
      <c r="AS42">
        <v>-115954.97</v>
      </c>
      <c r="AT42">
        <v>45422.07</v>
      </c>
      <c r="AU42">
        <v>-4496.2299999999996</v>
      </c>
      <c r="AV42">
        <v>-23329.29</v>
      </c>
      <c r="AW42">
        <v>34039.769999999997</v>
      </c>
      <c r="AX42">
        <v>32641.63</v>
      </c>
      <c r="AY42">
        <v>-119581.34</v>
      </c>
      <c r="AZ42">
        <v>7707.99</v>
      </c>
      <c r="BA42">
        <v>-11362.1</v>
      </c>
      <c r="BB42">
        <v>-608.69000000000005</v>
      </c>
      <c r="BC42">
        <v>42709.890000000007</v>
      </c>
      <c r="BD42">
        <v>20868.12</v>
      </c>
      <c r="BE42" s="79">
        <v>0</v>
      </c>
      <c r="BF42" s="79">
        <v>-25652.87</v>
      </c>
      <c r="BG42" s="79">
        <v>-50578.94</v>
      </c>
      <c r="BH42" s="79">
        <v>-51871.78</v>
      </c>
      <c r="BI42" s="79">
        <v>-51871.78</v>
      </c>
      <c r="BJ42" s="79">
        <v>-51871.78</v>
      </c>
      <c r="BK42" s="79">
        <v>-51871.78</v>
      </c>
      <c r="BL42" s="79">
        <v>-51871.78</v>
      </c>
      <c r="BM42" s="79">
        <v>-51990.080000000002</v>
      </c>
      <c r="BN42" s="79">
        <v>-52214.080000000002</v>
      </c>
      <c r="BO42" s="79">
        <v>-52214.080000000002</v>
      </c>
      <c r="BP42" s="79">
        <v>-52214.080000000002</v>
      </c>
      <c r="BQ42" s="79">
        <v>-52214.080000000002</v>
      </c>
      <c r="BR42" s="79">
        <v>-111313.8</v>
      </c>
      <c r="BS42" s="79">
        <v>-49572.44</v>
      </c>
      <c r="BT42" s="79">
        <v>-1292.8399999999999</v>
      </c>
      <c r="BU42" s="79">
        <v>-118.3</v>
      </c>
      <c r="BV42" s="79">
        <v>-224</v>
      </c>
      <c r="BW42" s="79">
        <v>0</v>
      </c>
      <c r="BX42" s="79">
        <v>0</v>
      </c>
      <c r="BY42" s="79">
        <v>0</v>
      </c>
      <c r="BZ42" s="79">
        <v>0</v>
      </c>
      <c r="CA42" s="79">
        <v>0</v>
      </c>
      <c r="CB42" s="79">
        <v>0</v>
      </c>
      <c r="CC42" s="79">
        <v>0</v>
      </c>
    </row>
    <row r="43" spans="2:81" x14ac:dyDescent="0.25">
      <c r="B43" s="84" t="s">
        <v>229</v>
      </c>
      <c r="C43" s="79">
        <v>-305.64</v>
      </c>
      <c r="D43" s="79">
        <v>0</v>
      </c>
      <c r="E43" s="79">
        <v>0</v>
      </c>
      <c r="F43" s="79">
        <v>0</v>
      </c>
      <c r="G43" s="79">
        <v>-305.64</v>
      </c>
      <c r="H43" s="79">
        <v>-305.64</v>
      </c>
      <c r="I43" s="79">
        <v>-305.64</v>
      </c>
      <c r="J43" s="79">
        <v>-305.64</v>
      </c>
      <c r="K43" s="79">
        <v>-305.64</v>
      </c>
      <c r="L43" s="79">
        <v>-305.64</v>
      </c>
      <c r="M43" s="79">
        <v>-305.64</v>
      </c>
      <c r="N43" s="79">
        <v>-305.64</v>
      </c>
      <c r="O43" s="79">
        <v>-305.64</v>
      </c>
      <c r="P43" s="79">
        <v>-305.64</v>
      </c>
      <c r="Q43" s="79">
        <v>0</v>
      </c>
      <c r="R43" s="79">
        <v>0</v>
      </c>
      <c r="S43" s="79">
        <v>0</v>
      </c>
      <c r="T43" s="79">
        <v>0</v>
      </c>
      <c r="U43" s="79">
        <v>-305.64</v>
      </c>
      <c r="V43" s="79">
        <v>0</v>
      </c>
      <c r="W43" s="79">
        <v>0</v>
      </c>
      <c r="X43" s="79">
        <v>0</v>
      </c>
      <c r="Y43" s="79">
        <v>0</v>
      </c>
      <c r="Z43" s="79">
        <v>0</v>
      </c>
      <c r="AA43" s="79">
        <v>0</v>
      </c>
      <c r="AB43" s="79">
        <v>0</v>
      </c>
      <c r="AC43" s="79">
        <v>0</v>
      </c>
      <c r="AD43" s="79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-3895.92</v>
      </c>
      <c r="AL43">
        <v>-3895.92</v>
      </c>
      <c r="AM43">
        <v>-3895.92</v>
      </c>
      <c r="AN43">
        <v>-3895.92</v>
      </c>
      <c r="AO43">
        <v>-3895.92</v>
      </c>
      <c r="AP43">
        <v>-3895.92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-3895.92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235301.85</v>
      </c>
      <c r="BD43">
        <v>235607.49</v>
      </c>
      <c r="BE43" s="79">
        <v>0</v>
      </c>
      <c r="BF43" s="79">
        <v>0</v>
      </c>
      <c r="BG43" s="79">
        <v>0</v>
      </c>
      <c r="BH43" s="79">
        <v>0</v>
      </c>
      <c r="BI43" s="79">
        <v>0</v>
      </c>
      <c r="BJ43" s="79">
        <v>0</v>
      </c>
      <c r="BK43" s="79">
        <v>0</v>
      </c>
      <c r="BL43" s="79">
        <v>0</v>
      </c>
      <c r="BM43" s="79">
        <v>0</v>
      </c>
      <c r="BN43" s="79">
        <v>0</v>
      </c>
      <c r="BO43" s="79">
        <v>0</v>
      </c>
      <c r="BP43" s="79">
        <v>0</v>
      </c>
      <c r="BQ43" s="79">
        <v>0</v>
      </c>
      <c r="BR43" s="79">
        <v>0</v>
      </c>
      <c r="BS43" s="79">
        <v>0</v>
      </c>
      <c r="BT43" s="79">
        <v>0</v>
      </c>
      <c r="BU43" s="79">
        <v>0</v>
      </c>
      <c r="BV43" s="79">
        <v>0</v>
      </c>
      <c r="BW43" s="79">
        <v>0</v>
      </c>
      <c r="BX43" s="79">
        <v>0</v>
      </c>
      <c r="BY43" s="79">
        <v>0</v>
      </c>
      <c r="BZ43" s="79">
        <v>0</v>
      </c>
      <c r="CA43" s="79">
        <v>0</v>
      </c>
      <c r="CB43" s="79">
        <v>0</v>
      </c>
      <c r="CC43" s="79">
        <v>0</v>
      </c>
    </row>
    <row r="44" spans="2:81" x14ac:dyDescent="0.25">
      <c r="B44" s="84" t="s">
        <v>230</v>
      </c>
      <c r="C44" s="79">
        <v>-1373</v>
      </c>
      <c r="D44" s="79">
        <v>0</v>
      </c>
      <c r="E44" s="79">
        <v>0</v>
      </c>
      <c r="F44" s="79">
        <v>0</v>
      </c>
      <c r="G44" s="79">
        <v>0</v>
      </c>
      <c r="H44" s="79">
        <v>-1373</v>
      </c>
      <c r="I44" s="79">
        <v>-1373</v>
      </c>
      <c r="J44" s="79">
        <v>-1373</v>
      </c>
      <c r="K44" s="79">
        <v>-1373</v>
      </c>
      <c r="L44" s="79">
        <v>-1373</v>
      </c>
      <c r="M44" s="79">
        <v>-1373</v>
      </c>
      <c r="N44" s="79">
        <v>-1373</v>
      </c>
      <c r="O44" s="79">
        <v>-1373</v>
      </c>
      <c r="P44" s="79">
        <v>-1373</v>
      </c>
      <c r="Q44" s="79">
        <v>0</v>
      </c>
      <c r="R44" s="79">
        <v>0</v>
      </c>
      <c r="S44" s="79">
        <v>0</v>
      </c>
      <c r="T44" s="79">
        <v>0</v>
      </c>
      <c r="U44" s="79">
        <v>0</v>
      </c>
      <c r="V44" s="79">
        <v>-1373</v>
      </c>
      <c r="W44" s="79">
        <v>0</v>
      </c>
      <c r="X44" s="79">
        <v>0</v>
      </c>
      <c r="Y44" s="79">
        <v>0</v>
      </c>
      <c r="Z44" s="79">
        <v>0</v>
      </c>
      <c r="AA44" s="79">
        <v>0</v>
      </c>
      <c r="AB44" s="79">
        <v>0</v>
      </c>
      <c r="AC44" s="79">
        <v>0</v>
      </c>
      <c r="AD44" s="79">
        <v>0</v>
      </c>
      <c r="AE44">
        <v>0</v>
      </c>
      <c r="AF44">
        <v>0</v>
      </c>
      <c r="AG44">
        <v>0</v>
      </c>
      <c r="AH44">
        <v>0</v>
      </c>
      <c r="AI44">
        <v>-1803.61</v>
      </c>
      <c r="AJ44">
        <v>-1803.61</v>
      </c>
      <c r="AK44">
        <v>-1803.61</v>
      </c>
      <c r="AL44">
        <v>-1803.61</v>
      </c>
      <c r="AM44">
        <v>-1803.61</v>
      </c>
      <c r="AN44">
        <v>-1803.61</v>
      </c>
      <c r="AO44">
        <v>-1803.61</v>
      </c>
      <c r="AP44">
        <v>-1803.61</v>
      </c>
      <c r="AQ44">
        <v>0</v>
      </c>
      <c r="AR44">
        <v>0</v>
      </c>
      <c r="AS44">
        <v>0</v>
      </c>
      <c r="AT44">
        <v>0</v>
      </c>
      <c r="AU44">
        <v>-1803.61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-24214.329999999994</v>
      </c>
      <c r="BD44">
        <v>-22841.33</v>
      </c>
      <c r="BE44" s="79">
        <v>0</v>
      </c>
      <c r="BF44" s="79">
        <v>0</v>
      </c>
      <c r="BG44" s="79">
        <v>0</v>
      </c>
      <c r="BH44" s="79">
        <v>0</v>
      </c>
      <c r="BI44" s="79">
        <v>0</v>
      </c>
      <c r="BJ44" s="79">
        <v>0</v>
      </c>
      <c r="BK44" s="79">
        <v>0</v>
      </c>
      <c r="BL44" s="79">
        <v>0</v>
      </c>
      <c r="BM44" s="79">
        <v>0</v>
      </c>
      <c r="BN44" s="79">
        <v>0</v>
      </c>
      <c r="BO44" s="79">
        <v>0</v>
      </c>
      <c r="BP44" s="79">
        <v>0</v>
      </c>
      <c r="BQ44" s="79">
        <v>0</v>
      </c>
      <c r="BR44" s="79">
        <v>0</v>
      </c>
      <c r="BS44" s="79">
        <v>0</v>
      </c>
      <c r="BT44" s="79">
        <v>0</v>
      </c>
      <c r="BU44" s="79">
        <v>0</v>
      </c>
      <c r="BV44" s="79">
        <v>0</v>
      </c>
      <c r="BW44" s="79">
        <v>0</v>
      </c>
      <c r="BX44" s="79">
        <v>0</v>
      </c>
      <c r="BY44" s="79">
        <v>0</v>
      </c>
      <c r="BZ44" s="79">
        <v>0</v>
      </c>
      <c r="CA44" s="79">
        <v>0</v>
      </c>
      <c r="CB44" s="79">
        <v>0</v>
      </c>
      <c r="CC44" s="79">
        <v>0</v>
      </c>
    </row>
    <row r="45" spans="2:81" x14ac:dyDescent="0.25">
      <c r="B45" s="84" t="s">
        <v>283</v>
      </c>
      <c r="C45" s="79">
        <v>0</v>
      </c>
      <c r="D45" s="79">
        <v>0</v>
      </c>
      <c r="E45" s="79">
        <v>0</v>
      </c>
      <c r="F45" s="79">
        <v>0</v>
      </c>
      <c r="G45" s="79">
        <v>0</v>
      </c>
      <c r="H45" s="79">
        <v>0</v>
      </c>
      <c r="I45" s="79">
        <v>0</v>
      </c>
      <c r="J45" s="79">
        <v>0</v>
      </c>
      <c r="K45" s="79">
        <v>0</v>
      </c>
      <c r="L45" s="79">
        <v>0</v>
      </c>
      <c r="M45" s="79">
        <v>0</v>
      </c>
      <c r="N45" s="79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9">
        <v>0</v>
      </c>
      <c r="U45" s="79">
        <v>0</v>
      </c>
      <c r="V45" s="79">
        <v>0</v>
      </c>
      <c r="W45" s="79">
        <v>0</v>
      </c>
      <c r="X45" s="79">
        <v>0</v>
      </c>
      <c r="Y45" s="79">
        <v>0</v>
      </c>
      <c r="Z45" s="79">
        <v>0</v>
      </c>
      <c r="AA45" s="79">
        <v>0</v>
      </c>
      <c r="AB45" s="79">
        <v>0</v>
      </c>
      <c r="AC45" s="79">
        <v>0</v>
      </c>
      <c r="AD45" s="79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 s="79">
        <v>0</v>
      </c>
      <c r="BF45" s="79">
        <v>0</v>
      </c>
      <c r="BG45" s="79">
        <v>0</v>
      </c>
      <c r="BH45" s="79">
        <v>0</v>
      </c>
      <c r="BI45" s="79">
        <v>0</v>
      </c>
      <c r="BJ45" s="79">
        <v>0</v>
      </c>
      <c r="BK45" s="79">
        <v>0</v>
      </c>
      <c r="BL45" s="79">
        <v>0</v>
      </c>
      <c r="BM45" s="79">
        <v>0</v>
      </c>
      <c r="BN45" s="79">
        <v>0</v>
      </c>
      <c r="BO45" s="79">
        <v>0</v>
      </c>
      <c r="BP45" s="79">
        <v>0</v>
      </c>
      <c r="BQ45" s="79">
        <v>0</v>
      </c>
      <c r="BR45" s="79">
        <v>0</v>
      </c>
      <c r="BS45" s="79">
        <v>0</v>
      </c>
      <c r="BT45" s="79">
        <v>0</v>
      </c>
      <c r="BU45" s="79">
        <v>0</v>
      </c>
      <c r="BV45" s="79">
        <v>0</v>
      </c>
      <c r="BW45" s="79">
        <v>0</v>
      </c>
      <c r="BX45" s="79">
        <v>0</v>
      </c>
      <c r="BY45" s="79">
        <v>0</v>
      </c>
      <c r="BZ45" s="79">
        <v>0</v>
      </c>
      <c r="CA45" s="79">
        <v>0</v>
      </c>
      <c r="CB45" s="79">
        <v>0</v>
      </c>
      <c r="CC45" s="79">
        <v>0</v>
      </c>
    </row>
    <row r="46" spans="2:81" x14ac:dyDescent="0.25">
      <c r="B46" s="84" t="s">
        <v>284</v>
      </c>
      <c r="C46" s="79">
        <v>0</v>
      </c>
      <c r="D46" s="79">
        <v>0</v>
      </c>
      <c r="E46" s="79">
        <v>0</v>
      </c>
      <c r="F46" s="79">
        <v>0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0</v>
      </c>
      <c r="M46" s="79">
        <v>0</v>
      </c>
      <c r="N46" s="79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9">
        <v>0</v>
      </c>
      <c r="U46" s="79">
        <v>0</v>
      </c>
      <c r="V46" s="79">
        <v>0</v>
      </c>
      <c r="W46" s="79">
        <v>0</v>
      </c>
      <c r="X46" s="79">
        <v>0</v>
      </c>
      <c r="Y46" s="79">
        <v>0</v>
      </c>
      <c r="Z46" s="79">
        <v>0</v>
      </c>
      <c r="AA46" s="79">
        <v>0</v>
      </c>
      <c r="AB46" s="79">
        <v>0</v>
      </c>
      <c r="AC46" s="79">
        <v>0</v>
      </c>
      <c r="AD46" s="79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 s="79">
        <v>0</v>
      </c>
      <c r="BF46" s="79">
        <v>0</v>
      </c>
      <c r="BG46" s="79">
        <v>0</v>
      </c>
      <c r="BH46" s="79">
        <v>0</v>
      </c>
      <c r="BI46" s="79">
        <v>0</v>
      </c>
      <c r="BJ46" s="79">
        <v>0</v>
      </c>
      <c r="BK46" s="79">
        <v>0</v>
      </c>
      <c r="BL46" s="79">
        <v>0</v>
      </c>
      <c r="BM46" s="79">
        <v>0</v>
      </c>
      <c r="BN46" s="79">
        <v>0</v>
      </c>
      <c r="BO46" s="79">
        <v>0</v>
      </c>
      <c r="BP46" s="79">
        <v>0</v>
      </c>
      <c r="BQ46" s="79">
        <v>0</v>
      </c>
      <c r="BR46" s="79">
        <v>0</v>
      </c>
      <c r="BS46" s="79">
        <v>0</v>
      </c>
      <c r="BT46" s="79">
        <v>0</v>
      </c>
      <c r="BU46" s="79">
        <v>0</v>
      </c>
      <c r="BV46" s="79">
        <v>0</v>
      </c>
      <c r="BW46" s="79">
        <v>0</v>
      </c>
      <c r="BX46" s="79">
        <v>0</v>
      </c>
      <c r="BY46" s="79">
        <v>0</v>
      </c>
      <c r="BZ46" s="79">
        <v>0</v>
      </c>
      <c r="CA46" s="79">
        <v>0</v>
      </c>
      <c r="CB46" s="79">
        <v>0</v>
      </c>
      <c r="CC46" s="79">
        <v>0</v>
      </c>
    </row>
    <row r="47" spans="2:81" x14ac:dyDescent="0.25">
      <c r="B47" s="84" t="s">
        <v>113</v>
      </c>
      <c r="C47" s="79">
        <v>12007.41</v>
      </c>
      <c r="D47" s="79">
        <v>4245.13</v>
      </c>
      <c r="E47" s="79">
        <v>-5186.25</v>
      </c>
      <c r="F47" s="79">
        <v>-47594.29</v>
      </c>
      <c r="G47" s="79">
        <v>-39370.910000000003</v>
      </c>
      <c r="H47" s="79">
        <v>-36464.239999999998</v>
      </c>
      <c r="I47" s="79">
        <v>-37342.47</v>
      </c>
      <c r="J47" s="79">
        <v>-28466.46</v>
      </c>
      <c r="K47" s="79">
        <v>-18312.22</v>
      </c>
      <c r="L47" s="79">
        <v>-8062.35</v>
      </c>
      <c r="M47" s="79">
        <v>1241.58</v>
      </c>
      <c r="N47" s="79">
        <v>11936.5</v>
      </c>
      <c r="O47" s="79">
        <v>7762.28</v>
      </c>
      <c r="P47" s="79">
        <v>-17975.900000000001</v>
      </c>
      <c r="Q47" s="79">
        <v>11548.44</v>
      </c>
      <c r="R47" s="79">
        <v>4681.97</v>
      </c>
      <c r="S47" s="79">
        <v>-5186.25</v>
      </c>
      <c r="T47" s="79">
        <v>-42408.04</v>
      </c>
      <c r="U47" s="79">
        <v>8223.3799999999992</v>
      </c>
      <c r="V47" s="79">
        <v>2906.67</v>
      </c>
      <c r="W47" s="79">
        <v>-878.23</v>
      </c>
      <c r="X47" s="79">
        <v>8876.01</v>
      </c>
      <c r="Y47" s="79">
        <v>10154.24</v>
      </c>
      <c r="Z47" s="79">
        <v>10249.870000000001</v>
      </c>
      <c r="AA47" s="79">
        <v>9303.93</v>
      </c>
      <c r="AB47" s="79">
        <v>10694.92</v>
      </c>
      <c r="AC47" s="79">
        <v>-4174.22</v>
      </c>
      <c r="AD47" s="79">
        <v>-25738.18</v>
      </c>
      <c r="AE47">
        <v>5922.72</v>
      </c>
      <c r="AF47">
        <v>-50318.66</v>
      </c>
      <c r="AG47">
        <v>-49197.51</v>
      </c>
      <c r="AH47">
        <v>-44568.5</v>
      </c>
      <c r="AI47">
        <v>-43615.24</v>
      </c>
      <c r="AJ47">
        <v>-32166.92</v>
      </c>
      <c r="AK47">
        <v>-20324.28</v>
      </c>
      <c r="AL47">
        <v>-12364.28</v>
      </c>
      <c r="AM47">
        <v>-19601.740000000002</v>
      </c>
      <c r="AN47">
        <v>-8161.2</v>
      </c>
      <c r="AO47">
        <v>-11164.8</v>
      </c>
      <c r="AP47">
        <v>617.74</v>
      </c>
      <c r="AQ47">
        <v>5922.72</v>
      </c>
      <c r="AR47">
        <v>-56241.38</v>
      </c>
      <c r="AS47">
        <v>1121.1500000000001</v>
      </c>
      <c r="AT47">
        <v>4629.01</v>
      </c>
      <c r="AU47">
        <v>953.26</v>
      </c>
      <c r="AV47">
        <v>11448.32</v>
      </c>
      <c r="AW47">
        <v>11842.64</v>
      </c>
      <c r="AX47">
        <v>7960</v>
      </c>
      <c r="AY47">
        <v>-7237.46</v>
      </c>
      <c r="AZ47">
        <v>11440.54</v>
      </c>
      <c r="BA47">
        <v>-3003.6</v>
      </c>
      <c r="BB47">
        <v>11782.54</v>
      </c>
      <c r="BC47">
        <v>-15151.58</v>
      </c>
      <c r="BD47">
        <v>2824.3199999999997</v>
      </c>
      <c r="BE47" s="79">
        <v>0</v>
      </c>
      <c r="BF47" s="79">
        <v>-4978.8</v>
      </c>
      <c r="BG47" s="79">
        <v>-24764.55</v>
      </c>
      <c r="BH47" s="79">
        <v>-24764.55</v>
      </c>
      <c r="BI47" s="79">
        <v>-24764.55</v>
      </c>
      <c r="BJ47" s="79">
        <v>-24764.55</v>
      </c>
      <c r="BK47" s="79">
        <v>-24764.55</v>
      </c>
      <c r="BL47" s="79">
        <v>-24764.55</v>
      </c>
      <c r="BM47" s="79">
        <v>-24764.55</v>
      </c>
      <c r="BN47" s="79">
        <v>-24764.55</v>
      </c>
      <c r="BO47" s="79">
        <v>-24764.55</v>
      </c>
      <c r="BP47" s="79">
        <v>-24764.55</v>
      </c>
      <c r="BQ47" s="79">
        <v>-24764.55</v>
      </c>
      <c r="BR47" s="79">
        <v>-18343.8</v>
      </c>
      <c r="BS47" s="79">
        <v>-19816.349999999999</v>
      </c>
      <c r="BT47" s="79">
        <v>0</v>
      </c>
      <c r="BU47" s="79">
        <v>0</v>
      </c>
      <c r="BV47" s="79">
        <v>0</v>
      </c>
      <c r="BW47" s="79">
        <v>0</v>
      </c>
      <c r="BX47" s="79">
        <v>0</v>
      </c>
      <c r="BY47" s="79">
        <v>0</v>
      </c>
      <c r="BZ47" s="79">
        <v>0</v>
      </c>
      <c r="CA47" s="79">
        <v>0</v>
      </c>
      <c r="CB47" s="79">
        <v>0</v>
      </c>
      <c r="CC47" s="79">
        <v>0</v>
      </c>
    </row>
    <row r="48" spans="2:81" s="79" customFormat="1" x14ac:dyDescent="0.25">
      <c r="B48" s="84" t="s">
        <v>112</v>
      </c>
      <c r="C48" s="79">
        <v>623141.36</v>
      </c>
      <c r="D48" s="79">
        <v>342798.94</v>
      </c>
      <c r="E48" s="79">
        <v>22831.74</v>
      </c>
      <c r="F48" s="79">
        <v>39109.18</v>
      </c>
      <c r="G48" s="79">
        <v>56772.53</v>
      </c>
      <c r="H48" s="79">
        <v>74262.8</v>
      </c>
      <c r="I48" s="79">
        <v>104117.97</v>
      </c>
      <c r="J48" s="79">
        <v>134699.34</v>
      </c>
      <c r="K48" s="79">
        <v>154523.20000000001</v>
      </c>
      <c r="L48" s="79">
        <v>194517.28</v>
      </c>
      <c r="M48" s="79">
        <v>221969.08</v>
      </c>
      <c r="N48" s="79">
        <v>249086.66</v>
      </c>
      <c r="O48" s="79">
        <v>280342.42</v>
      </c>
      <c r="P48" s="79">
        <v>319243.73</v>
      </c>
      <c r="Q48" s="79">
        <v>33789.99</v>
      </c>
      <c r="R48" s="79">
        <v>49889.51</v>
      </c>
      <c r="S48" s="79">
        <v>22831.74</v>
      </c>
      <c r="T48" s="79">
        <v>16277.44</v>
      </c>
      <c r="U48" s="79">
        <v>17663.349999999999</v>
      </c>
      <c r="V48" s="79">
        <v>17490.27</v>
      </c>
      <c r="W48" s="79">
        <v>29855.17</v>
      </c>
      <c r="X48" s="79">
        <v>30581.37</v>
      </c>
      <c r="Y48" s="79">
        <v>19823.86</v>
      </c>
      <c r="Z48" s="79">
        <v>39994.080000000002</v>
      </c>
      <c r="AA48" s="79">
        <v>27451.8</v>
      </c>
      <c r="AB48" s="79">
        <v>27117.58</v>
      </c>
      <c r="AC48" s="79">
        <v>31255.759999999998</v>
      </c>
      <c r="AD48" s="79">
        <v>38901.31</v>
      </c>
      <c r="AE48" s="79">
        <v>22849.46</v>
      </c>
      <c r="AF48" s="79">
        <v>46654.5</v>
      </c>
      <c r="AG48" s="79">
        <v>43.64</v>
      </c>
      <c r="AH48" s="79">
        <v>20710.09</v>
      </c>
      <c r="AI48" s="79">
        <v>44589.84</v>
      </c>
      <c r="AJ48" s="79">
        <v>0</v>
      </c>
      <c r="AK48" s="79">
        <v>36856.480000000003</v>
      </c>
      <c r="AL48" s="79">
        <v>60735.79</v>
      </c>
      <c r="AM48" s="79">
        <v>0</v>
      </c>
      <c r="AN48" s="79">
        <v>36527.14</v>
      </c>
      <c r="AO48" s="79">
        <v>64174.75</v>
      </c>
      <c r="AP48" s="79">
        <v>-290.33</v>
      </c>
      <c r="AQ48" s="79">
        <v>22849.46</v>
      </c>
      <c r="AR48" s="79">
        <v>23805.040000000001</v>
      </c>
      <c r="AS48" s="79">
        <v>-46610.86</v>
      </c>
      <c r="AT48" s="79">
        <v>20666.45</v>
      </c>
      <c r="AU48" s="79">
        <v>23879.75</v>
      </c>
      <c r="AV48" s="79">
        <v>-44589.84</v>
      </c>
      <c r="AW48" s="79">
        <v>36856.480000000003</v>
      </c>
      <c r="AX48" s="79">
        <v>23879.31</v>
      </c>
      <c r="AY48" s="79">
        <v>-60735.79</v>
      </c>
      <c r="AZ48" s="79">
        <v>36527.14</v>
      </c>
      <c r="BA48" s="79">
        <v>27647.61</v>
      </c>
      <c r="BB48" s="79">
        <v>-64465.08</v>
      </c>
      <c r="BC48" s="79">
        <v>319243.73</v>
      </c>
      <c r="BD48" s="79">
        <v>0</v>
      </c>
      <c r="BE48" s="79">
        <v>0</v>
      </c>
      <c r="BF48" s="79">
        <v>15176.42</v>
      </c>
      <c r="BG48" s="79">
        <v>26384.1</v>
      </c>
      <c r="BH48" s="79">
        <v>26384.1</v>
      </c>
      <c r="BI48" s="79">
        <v>26384.1</v>
      </c>
      <c r="BJ48" s="79">
        <v>26384.1</v>
      </c>
      <c r="BK48" s="79">
        <v>26384.1</v>
      </c>
      <c r="BL48" s="79">
        <v>26384.1</v>
      </c>
      <c r="BM48" s="79">
        <v>26384.1</v>
      </c>
      <c r="BN48" s="79">
        <v>26384.1</v>
      </c>
      <c r="BO48" s="79">
        <v>26384.1</v>
      </c>
      <c r="BP48" s="79">
        <v>26384.1</v>
      </c>
      <c r="BQ48" s="79">
        <v>26384.1</v>
      </c>
      <c r="BR48" s="79">
        <v>-662.52</v>
      </c>
      <c r="BS48" s="79">
        <v>0</v>
      </c>
      <c r="BT48" s="79">
        <v>0</v>
      </c>
      <c r="BU48" s="79">
        <v>0</v>
      </c>
      <c r="BV48" s="79">
        <v>0</v>
      </c>
      <c r="BW48" s="79">
        <v>0</v>
      </c>
      <c r="BX48" s="79">
        <v>0</v>
      </c>
      <c r="BY48" s="79">
        <v>0</v>
      </c>
      <c r="BZ48" s="79">
        <v>0</v>
      </c>
      <c r="CA48" s="79">
        <v>0</v>
      </c>
      <c r="CB48" s="79">
        <v>0</v>
      </c>
      <c r="CC48" s="79">
        <v>0</v>
      </c>
    </row>
    <row r="49" spans="2:81" x14ac:dyDescent="0.25">
      <c r="B49" s="84" t="s">
        <v>111</v>
      </c>
      <c r="C49" s="79">
        <v>-468002.45</v>
      </c>
      <c r="D49" s="79">
        <v>-235806.25</v>
      </c>
      <c r="E49" s="79">
        <v>-15632.96</v>
      </c>
      <c r="F49" s="79">
        <v>-21375.43</v>
      </c>
      <c r="G49" s="79">
        <v>-63770.53</v>
      </c>
      <c r="H49" s="79">
        <v>-74196.210000000006</v>
      </c>
      <c r="I49" s="79">
        <v>-80513.59</v>
      </c>
      <c r="J49" s="79">
        <v>-108804.91</v>
      </c>
      <c r="K49" s="79">
        <v>-126494.06</v>
      </c>
      <c r="L49" s="79">
        <v>-151848.26</v>
      </c>
      <c r="M49" s="79">
        <v>-198158.1</v>
      </c>
      <c r="N49" s="79">
        <v>-209547.61</v>
      </c>
      <c r="O49" s="79">
        <v>-232196.2</v>
      </c>
      <c r="P49" s="79">
        <v>-253096.89</v>
      </c>
      <c r="Q49" s="79">
        <v>-14378.72</v>
      </c>
      <c r="R49" s="79">
        <v>-28805.55</v>
      </c>
      <c r="S49" s="79">
        <v>-15632.96</v>
      </c>
      <c r="T49" s="79">
        <v>-5742.47</v>
      </c>
      <c r="U49" s="79">
        <v>-42395.1</v>
      </c>
      <c r="V49" s="79">
        <v>-10425.68</v>
      </c>
      <c r="W49" s="79">
        <v>-6317.38</v>
      </c>
      <c r="X49" s="79">
        <v>-28291.32</v>
      </c>
      <c r="Y49" s="79">
        <v>-17689.150000000001</v>
      </c>
      <c r="Z49" s="79">
        <v>-25354.2</v>
      </c>
      <c r="AA49" s="79">
        <v>-46309.84</v>
      </c>
      <c r="AB49" s="79">
        <v>-11389.51</v>
      </c>
      <c r="AC49" s="79">
        <v>-22648.59</v>
      </c>
      <c r="AD49" s="79">
        <v>-20900.689999999999</v>
      </c>
      <c r="AE49">
        <v>-23516.82</v>
      </c>
      <c r="AF49">
        <v>-52867.02</v>
      </c>
      <c r="AG49">
        <v>-1914.2</v>
      </c>
      <c r="AH49">
        <v>-19901.78</v>
      </c>
      <c r="AI49">
        <v>-38765.199999999997</v>
      </c>
      <c r="AJ49">
        <v>-27.6</v>
      </c>
      <c r="AK49">
        <v>-28494.54</v>
      </c>
      <c r="AL49">
        <v>-39882.07</v>
      </c>
      <c r="AM49">
        <v>-311.37</v>
      </c>
      <c r="AN49">
        <v>-27379.64</v>
      </c>
      <c r="AO49">
        <v>-33377.61</v>
      </c>
      <c r="AP49">
        <v>-4004.12</v>
      </c>
      <c r="AQ49">
        <v>-23516.82</v>
      </c>
      <c r="AR49">
        <v>-29350.2</v>
      </c>
      <c r="AS49">
        <v>50952.82</v>
      </c>
      <c r="AT49">
        <v>-17987.580000000002</v>
      </c>
      <c r="AU49">
        <v>-18863.419999999998</v>
      </c>
      <c r="AV49">
        <v>38737.599999999999</v>
      </c>
      <c r="AW49">
        <v>-28466.94</v>
      </c>
      <c r="AX49">
        <v>-11387.53</v>
      </c>
      <c r="AY49">
        <v>39570.699999999997</v>
      </c>
      <c r="AZ49">
        <v>-27068.27</v>
      </c>
      <c r="BA49">
        <v>-5997.97</v>
      </c>
      <c r="BB49">
        <v>29373.49</v>
      </c>
      <c r="BC49">
        <v>-253096.89</v>
      </c>
      <c r="BD49">
        <v>0</v>
      </c>
      <c r="BE49" s="79">
        <v>0</v>
      </c>
      <c r="BF49" s="79">
        <v>-17541.27</v>
      </c>
      <c r="BG49" s="79">
        <v>-19030.55</v>
      </c>
      <c r="BH49" s="79">
        <v>-19030.55</v>
      </c>
      <c r="BI49" s="79">
        <v>-19030.55</v>
      </c>
      <c r="BJ49" s="79">
        <v>-19030.55</v>
      </c>
      <c r="BK49" s="79">
        <v>-19030.55</v>
      </c>
      <c r="BL49" s="79">
        <v>-19030.55</v>
      </c>
      <c r="BM49" s="79">
        <v>-19030.55</v>
      </c>
      <c r="BN49" s="79">
        <v>-19030.55</v>
      </c>
      <c r="BO49" s="79">
        <v>-19030.55</v>
      </c>
      <c r="BP49" s="79">
        <v>-19030.55</v>
      </c>
      <c r="BQ49" s="79">
        <v>-19030.55</v>
      </c>
      <c r="BR49" s="79">
        <v>-17541.27</v>
      </c>
      <c r="BS49" s="79">
        <v>-1489.28</v>
      </c>
      <c r="BT49" s="79">
        <v>0</v>
      </c>
      <c r="BU49" s="79">
        <v>0</v>
      </c>
      <c r="BV49" s="79">
        <v>0</v>
      </c>
      <c r="BW49" s="79">
        <v>0</v>
      </c>
      <c r="BX49" s="79">
        <v>0</v>
      </c>
      <c r="BY49" s="79">
        <v>0</v>
      </c>
      <c r="BZ49" s="79">
        <v>0</v>
      </c>
      <c r="CA49" s="79">
        <v>0</v>
      </c>
      <c r="CB49" s="79">
        <v>0</v>
      </c>
      <c r="CC49" s="79">
        <v>0</v>
      </c>
    </row>
    <row r="50" spans="2:81" s="79" customFormat="1" x14ac:dyDescent="0.25">
      <c r="B50" s="84" t="s">
        <v>110</v>
      </c>
      <c r="C50" s="79">
        <v>-182649.41</v>
      </c>
      <c r="D50" s="79">
        <v>-94671.43</v>
      </c>
      <c r="E50" s="79">
        <v>-6.27</v>
      </c>
      <c r="F50" s="79">
        <v>-59702.84</v>
      </c>
      <c r="G50" s="79">
        <v>-59710.27</v>
      </c>
      <c r="H50" s="79">
        <v>-59715.55</v>
      </c>
      <c r="I50" s="79">
        <v>-52036.12</v>
      </c>
      <c r="J50" s="79">
        <v>-52036.12</v>
      </c>
      <c r="K50" s="79">
        <v>-52045.7</v>
      </c>
      <c r="L50" s="79">
        <v>-85355.75</v>
      </c>
      <c r="M50" s="79">
        <v>-85359.83</v>
      </c>
      <c r="N50" s="79">
        <v>-85359.83</v>
      </c>
      <c r="O50" s="79">
        <v>-87977.98</v>
      </c>
      <c r="P50" s="79">
        <v>-87732.2</v>
      </c>
      <c r="Q50" s="79">
        <v>-4.84</v>
      </c>
      <c r="R50" s="79">
        <v>-3.2</v>
      </c>
      <c r="S50" s="79">
        <v>-6.27</v>
      </c>
      <c r="T50" s="79">
        <v>-59696.57</v>
      </c>
      <c r="U50" s="79">
        <v>-7.43</v>
      </c>
      <c r="V50" s="79">
        <v>-5.28</v>
      </c>
      <c r="W50" s="79">
        <v>7679.43</v>
      </c>
      <c r="X50" s="79">
        <v>0</v>
      </c>
      <c r="Y50" s="79">
        <v>-9.58</v>
      </c>
      <c r="Z50" s="79">
        <v>-33310.050000000003</v>
      </c>
      <c r="AA50" s="79">
        <v>-4.08</v>
      </c>
      <c r="AB50" s="79">
        <v>0</v>
      </c>
      <c r="AC50" s="79">
        <v>-2618.15</v>
      </c>
      <c r="AD50" s="79">
        <v>245.78</v>
      </c>
      <c r="AE50" s="79">
        <v>0</v>
      </c>
      <c r="AF50" s="79">
        <v>-37411.949999999997</v>
      </c>
      <c r="AG50" s="79">
        <v>-25427.73</v>
      </c>
      <c r="AH50" s="79">
        <v>-25427.73</v>
      </c>
      <c r="AI50" s="79">
        <v>-37411.949999999997</v>
      </c>
      <c r="AJ50" s="79">
        <v>-18804.53</v>
      </c>
      <c r="AK50" s="79">
        <v>-18804.53</v>
      </c>
      <c r="AL50" s="79">
        <v>-37411.949999999997</v>
      </c>
      <c r="AM50" s="79">
        <v>-16469.16</v>
      </c>
      <c r="AN50" s="79">
        <v>-16469.16</v>
      </c>
      <c r="AO50" s="79">
        <v>-37411.949999999997</v>
      </c>
      <c r="AP50" s="79">
        <v>9915.86</v>
      </c>
      <c r="AQ50" s="79">
        <v>0</v>
      </c>
      <c r="AR50" s="79">
        <v>-37411.949999999997</v>
      </c>
      <c r="AS50" s="79">
        <v>11984.22</v>
      </c>
      <c r="AT50" s="79">
        <v>0</v>
      </c>
      <c r="AU50" s="79">
        <v>-11984.22</v>
      </c>
      <c r="AV50" s="79">
        <v>18607.419999999998</v>
      </c>
      <c r="AW50" s="79">
        <v>0</v>
      </c>
      <c r="AX50" s="79">
        <v>-18607.419999999998</v>
      </c>
      <c r="AY50" s="79">
        <v>20942.79</v>
      </c>
      <c r="AZ50" s="79">
        <v>0</v>
      </c>
      <c r="BA50" s="79">
        <v>-20942.79</v>
      </c>
      <c r="BB50" s="79">
        <v>47327.81</v>
      </c>
      <c r="BC50" s="79">
        <v>-28785.27</v>
      </c>
      <c r="BD50" s="79">
        <v>58946.93</v>
      </c>
      <c r="BE50" s="79">
        <v>0</v>
      </c>
      <c r="BF50" s="79">
        <v>0</v>
      </c>
      <c r="BG50" s="79">
        <v>-47327.81</v>
      </c>
      <c r="BH50" s="79">
        <v>-47327.81</v>
      </c>
      <c r="BI50" s="79">
        <v>-47327.81</v>
      </c>
      <c r="BJ50" s="79">
        <v>-47327.81</v>
      </c>
      <c r="BK50" s="79">
        <v>-47327.81</v>
      </c>
      <c r="BL50" s="79">
        <v>-47327.81</v>
      </c>
      <c r="BM50" s="79">
        <v>-47327.81</v>
      </c>
      <c r="BN50" s="79">
        <v>-47327.81</v>
      </c>
      <c r="BO50" s="79">
        <v>-47327.81</v>
      </c>
      <c r="BP50" s="79">
        <v>-47327.81</v>
      </c>
      <c r="BQ50" s="79">
        <v>-47327.81</v>
      </c>
      <c r="BR50" s="79">
        <v>0</v>
      </c>
      <c r="BS50" s="79">
        <v>-47327.81</v>
      </c>
      <c r="BT50" s="79">
        <v>0</v>
      </c>
      <c r="BU50" s="79">
        <v>0</v>
      </c>
      <c r="BV50" s="79">
        <v>0</v>
      </c>
      <c r="BW50" s="79">
        <v>0</v>
      </c>
      <c r="BX50" s="79">
        <v>0</v>
      </c>
      <c r="BY50" s="79">
        <v>0</v>
      </c>
      <c r="BZ50" s="79">
        <v>0</v>
      </c>
      <c r="CA50" s="79">
        <v>0</v>
      </c>
      <c r="CB50" s="79">
        <v>0</v>
      </c>
      <c r="CC50" s="79">
        <v>0</v>
      </c>
    </row>
    <row r="51" spans="2:81" x14ac:dyDescent="0.25">
      <c r="B51" s="84">
        <v>2204</v>
      </c>
      <c r="C51" s="79">
        <v>0</v>
      </c>
      <c r="D51" s="79">
        <v>0</v>
      </c>
      <c r="E51" s="79">
        <v>0</v>
      </c>
      <c r="F51" s="79">
        <v>0</v>
      </c>
      <c r="G51" s="79">
        <v>0</v>
      </c>
      <c r="H51" s="79">
        <v>0</v>
      </c>
      <c r="I51" s="79">
        <v>0</v>
      </c>
      <c r="J51" s="79">
        <v>0</v>
      </c>
      <c r="K51" s="79">
        <v>0</v>
      </c>
      <c r="L51" s="79">
        <v>0</v>
      </c>
      <c r="M51" s="79">
        <v>0</v>
      </c>
      <c r="N51" s="79">
        <v>0</v>
      </c>
      <c r="O51" s="79">
        <v>0</v>
      </c>
      <c r="P51" s="79">
        <v>-9409.52</v>
      </c>
      <c r="Q51" s="79">
        <v>0</v>
      </c>
      <c r="R51" s="79">
        <v>0</v>
      </c>
      <c r="S51" s="79">
        <v>0</v>
      </c>
      <c r="T51" s="79">
        <v>0</v>
      </c>
      <c r="U51" s="79">
        <v>0</v>
      </c>
      <c r="V51" s="79">
        <v>0</v>
      </c>
      <c r="W51" s="79">
        <v>0</v>
      </c>
      <c r="X51" s="79">
        <v>0</v>
      </c>
      <c r="Y51" s="79">
        <v>0</v>
      </c>
      <c r="Z51" s="79">
        <v>0</v>
      </c>
      <c r="AA51" s="79">
        <v>0</v>
      </c>
      <c r="AB51" s="79">
        <v>0</v>
      </c>
      <c r="AC51" s="79">
        <v>0</v>
      </c>
      <c r="AD51" s="79">
        <v>-9409.52</v>
      </c>
      <c r="AE51">
        <v>7409.52</v>
      </c>
      <c r="AF51">
        <v>7409.52</v>
      </c>
      <c r="AG51">
        <v>7409.52</v>
      </c>
      <c r="AH51">
        <v>7409.52</v>
      </c>
      <c r="AI51">
        <v>7409.52</v>
      </c>
      <c r="AJ51">
        <v>7409.52</v>
      </c>
      <c r="AK51">
        <v>7409.52</v>
      </c>
      <c r="AL51">
        <v>7409.52</v>
      </c>
      <c r="AM51">
        <v>7409.52</v>
      </c>
      <c r="AN51">
        <v>7409.52</v>
      </c>
      <c r="AO51">
        <v>7409.52</v>
      </c>
      <c r="AP51">
        <v>7409.52</v>
      </c>
      <c r="AQ51">
        <v>7409.52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-9409.52</v>
      </c>
      <c r="BD51">
        <v>0</v>
      </c>
      <c r="BE51" s="79">
        <v>0</v>
      </c>
      <c r="BF51" s="79">
        <v>0</v>
      </c>
      <c r="BG51" s="79">
        <v>0</v>
      </c>
      <c r="BH51" s="79">
        <v>0</v>
      </c>
      <c r="BI51" s="79">
        <v>0</v>
      </c>
      <c r="BJ51" s="79">
        <v>0</v>
      </c>
      <c r="BK51" s="79">
        <v>0</v>
      </c>
      <c r="BL51" s="79">
        <v>0</v>
      </c>
      <c r="BM51" s="79">
        <v>0</v>
      </c>
      <c r="BN51" s="79">
        <v>0</v>
      </c>
      <c r="BO51" s="79">
        <v>0</v>
      </c>
      <c r="BP51" s="79">
        <v>0</v>
      </c>
      <c r="BQ51" s="79">
        <v>0</v>
      </c>
      <c r="BR51" s="79">
        <v>0</v>
      </c>
      <c r="BS51" s="79">
        <v>0</v>
      </c>
      <c r="BT51" s="79">
        <v>0</v>
      </c>
      <c r="BU51" s="79">
        <v>0</v>
      </c>
      <c r="BV51" s="79">
        <v>0</v>
      </c>
      <c r="BW51" s="79">
        <v>0</v>
      </c>
      <c r="BX51" s="79">
        <v>0</v>
      </c>
      <c r="BY51" s="79">
        <v>0</v>
      </c>
      <c r="BZ51" s="79">
        <v>0</v>
      </c>
      <c r="CA51" s="79">
        <v>0</v>
      </c>
      <c r="CB51" s="79">
        <v>0</v>
      </c>
      <c r="CC51" s="79">
        <v>0</v>
      </c>
    </row>
    <row r="52" spans="2:81" x14ac:dyDescent="0.25">
      <c r="B52" s="84" t="s">
        <v>109</v>
      </c>
      <c r="C52" s="79">
        <v>3114.23</v>
      </c>
      <c r="D52" s="79">
        <v>-274.86</v>
      </c>
      <c r="E52" s="79">
        <v>-98.4</v>
      </c>
      <c r="F52" s="79">
        <v>-1141.2</v>
      </c>
      <c r="G52" s="79">
        <v>-303.89</v>
      </c>
      <c r="H52" s="79">
        <v>-151.47999999999999</v>
      </c>
      <c r="I52" s="79">
        <v>-253.88</v>
      </c>
      <c r="J52" s="79">
        <v>65.31</v>
      </c>
      <c r="K52" s="79">
        <v>-304.68</v>
      </c>
      <c r="L52" s="79">
        <v>-302.88</v>
      </c>
      <c r="M52" s="79">
        <v>-114.49</v>
      </c>
      <c r="N52" s="79">
        <v>520.52</v>
      </c>
      <c r="O52" s="79">
        <v>3389.09</v>
      </c>
      <c r="P52" s="79">
        <v>-1209.81</v>
      </c>
      <c r="Q52" s="79">
        <v>1128.8</v>
      </c>
      <c r="R52" s="79">
        <v>-1177</v>
      </c>
      <c r="S52" s="79">
        <v>-98.4</v>
      </c>
      <c r="T52" s="79">
        <v>-1042.8</v>
      </c>
      <c r="U52" s="79">
        <v>837.31</v>
      </c>
      <c r="V52" s="79">
        <v>152.41</v>
      </c>
      <c r="W52" s="79">
        <v>-102.4</v>
      </c>
      <c r="X52" s="79">
        <v>319.19</v>
      </c>
      <c r="Y52" s="79">
        <v>-369.99</v>
      </c>
      <c r="Z52" s="79">
        <v>1.8</v>
      </c>
      <c r="AA52" s="79">
        <v>188.39</v>
      </c>
      <c r="AB52" s="79">
        <v>635.01</v>
      </c>
      <c r="AC52" s="79">
        <v>2868.57</v>
      </c>
      <c r="AD52" s="79">
        <v>-4598.8999999999996</v>
      </c>
      <c r="AE52">
        <v>-122.18</v>
      </c>
      <c r="AF52">
        <v>-289.58</v>
      </c>
      <c r="AG52">
        <v>-203.17</v>
      </c>
      <c r="AH52">
        <v>-160.16999999999999</v>
      </c>
      <c r="AI52">
        <v>489.19</v>
      </c>
      <c r="AJ52">
        <v>701.59</v>
      </c>
      <c r="AK52">
        <v>-1492.71</v>
      </c>
      <c r="AL52">
        <v>-3723.36</v>
      </c>
      <c r="AM52">
        <v>-3723.96</v>
      </c>
      <c r="AN52">
        <v>-1664.51</v>
      </c>
      <c r="AO52">
        <v>1358.79</v>
      </c>
      <c r="AP52">
        <v>-1525.06</v>
      </c>
      <c r="AQ52">
        <v>-122.18</v>
      </c>
      <c r="AR52">
        <v>-167.4</v>
      </c>
      <c r="AS52">
        <v>86.41</v>
      </c>
      <c r="AT52">
        <v>43</v>
      </c>
      <c r="AU52">
        <v>649.36</v>
      </c>
      <c r="AV52">
        <v>212.4</v>
      </c>
      <c r="AW52">
        <v>-2194.3000000000002</v>
      </c>
      <c r="AX52">
        <v>-2230.65</v>
      </c>
      <c r="AY52">
        <v>-0.6</v>
      </c>
      <c r="AZ52">
        <v>2059.4499999999998</v>
      </c>
      <c r="BA52">
        <v>3023.3</v>
      </c>
      <c r="BB52">
        <v>-2883.85</v>
      </c>
      <c r="BC52">
        <v>979.59000000000015</v>
      </c>
      <c r="BD52">
        <v>2189.4</v>
      </c>
      <c r="BE52" s="79">
        <v>0</v>
      </c>
      <c r="BF52" s="79">
        <v>-4619.42</v>
      </c>
      <c r="BG52" s="79">
        <v>-4338.0200000000004</v>
      </c>
      <c r="BH52" s="79">
        <v>-4338.0200000000004</v>
      </c>
      <c r="BI52" s="79">
        <v>-4338.0200000000004</v>
      </c>
      <c r="BJ52" s="79">
        <v>-4338.0200000000004</v>
      </c>
      <c r="BK52" s="79">
        <v>-4338.0200000000004</v>
      </c>
      <c r="BL52" s="79">
        <v>-4338.0200000000004</v>
      </c>
      <c r="BM52" s="79">
        <v>-4338.0200000000004</v>
      </c>
      <c r="BN52" s="79">
        <v>-4338.0200000000004</v>
      </c>
      <c r="BO52" s="79">
        <v>-4338.0200000000004</v>
      </c>
      <c r="BP52" s="79">
        <v>-4338.0200000000004</v>
      </c>
      <c r="BQ52" s="79">
        <v>-4338.0200000000004</v>
      </c>
      <c r="BR52" s="79">
        <v>-6436.17</v>
      </c>
      <c r="BS52" s="79">
        <v>0</v>
      </c>
      <c r="BT52" s="79">
        <v>0</v>
      </c>
      <c r="BU52" s="79">
        <v>0</v>
      </c>
      <c r="BV52" s="79">
        <v>0</v>
      </c>
      <c r="BW52" s="79">
        <v>0</v>
      </c>
      <c r="BX52" s="79">
        <v>0</v>
      </c>
      <c r="BY52" s="79">
        <v>0</v>
      </c>
      <c r="BZ52" s="79">
        <v>0</v>
      </c>
      <c r="CA52" s="79">
        <v>0</v>
      </c>
      <c r="CB52" s="79">
        <v>0</v>
      </c>
      <c r="CC52" s="79">
        <v>0</v>
      </c>
    </row>
    <row r="53" spans="2:81" x14ac:dyDescent="0.25">
      <c r="B53" s="84" t="s">
        <v>108</v>
      </c>
      <c r="C53" s="79">
        <v>5482.18</v>
      </c>
      <c r="D53" s="79">
        <v>-33.520000000000003</v>
      </c>
      <c r="E53" s="79">
        <v>-122.44</v>
      </c>
      <c r="F53" s="79">
        <v>-730.7</v>
      </c>
      <c r="G53" s="79">
        <v>-306.38</v>
      </c>
      <c r="H53" s="79">
        <v>1063.52</v>
      </c>
      <c r="I53" s="79">
        <v>1844.1</v>
      </c>
      <c r="J53" s="79">
        <v>2156.34</v>
      </c>
      <c r="K53" s="79">
        <v>1956.46</v>
      </c>
      <c r="L53" s="79">
        <v>1693.62</v>
      </c>
      <c r="M53" s="79">
        <v>1895.31</v>
      </c>
      <c r="N53" s="79">
        <v>2453.83</v>
      </c>
      <c r="O53" s="79">
        <v>5515.7</v>
      </c>
      <c r="P53" s="79">
        <v>1279.48</v>
      </c>
      <c r="Q53" s="79">
        <v>1068.72</v>
      </c>
      <c r="R53" s="79">
        <v>-1154</v>
      </c>
      <c r="S53" s="79">
        <v>-122.44</v>
      </c>
      <c r="T53" s="79">
        <v>-608.26</v>
      </c>
      <c r="U53" s="79">
        <v>424.32</v>
      </c>
      <c r="V53" s="79">
        <v>1369.9</v>
      </c>
      <c r="W53" s="79">
        <v>780.58</v>
      </c>
      <c r="X53" s="79">
        <v>312.24</v>
      </c>
      <c r="Y53" s="79">
        <v>-199.88</v>
      </c>
      <c r="Z53" s="79">
        <v>-262.83999999999997</v>
      </c>
      <c r="AA53" s="79">
        <v>201.69</v>
      </c>
      <c r="AB53" s="79">
        <v>558.52</v>
      </c>
      <c r="AC53" s="79">
        <v>3061.87</v>
      </c>
      <c r="AD53" s="79">
        <v>-4236.22</v>
      </c>
      <c r="AE53">
        <v>-156.59</v>
      </c>
      <c r="AF53">
        <v>-372.65</v>
      </c>
      <c r="AG53">
        <v>-254.87</v>
      </c>
      <c r="AH53">
        <v>939.81</v>
      </c>
      <c r="AI53">
        <v>778.36</v>
      </c>
      <c r="AJ53">
        <v>-1996.22</v>
      </c>
      <c r="AK53">
        <v>541.41</v>
      </c>
      <c r="AL53">
        <v>-2154.1799999999998</v>
      </c>
      <c r="AM53">
        <v>-2150.48</v>
      </c>
      <c r="AN53">
        <v>73.83</v>
      </c>
      <c r="AO53">
        <v>3343.6</v>
      </c>
      <c r="AP53">
        <v>279.66000000000003</v>
      </c>
      <c r="AQ53">
        <v>-156.59</v>
      </c>
      <c r="AR53">
        <v>-216.06</v>
      </c>
      <c r="AS53">
        <v>117.78</v>
      </c>
      <c r="AT53">
        <v>1194.68</v>
      </c>
      <c r="AU53">
        <v>-161.44999999999999</v>
      </c>
      <c r="AV53">
        <v>-2774.58</v>
      </c>
      <c r="AW53">
        <v>2537.63</v>
      </c>
      <c r="AX53">
        <v>-2695.59</v>
      </c>
      <c r="AY53">
        <v>3.7</v>
      </c>
      <c r="AZ53">
        <v>2224.31</v>
      </c>
      <c r="BA53">
        <v>3269.77</v>
      </c>
      <c r="BB53">
        <v>-3063.94</v>
      </c>
      <c r="BC53">
        <v>3626.72</v>
      </c>
      <c r="BD53">
        <v>2347.2399999999998</v>
      </c>
      <c r="BE53" s="79">
        <v>0</v>
      </c>
      <c r="BF53" s="79">
        <v>0</v>
      </c>
      <c r="BG53" s="79">
        <v>314.68</v>
      </c>
      <c r="BH53" s="79">
        <v>314.68</v>
      </c>
      <c r="BI53" s="79">
        <v>314.68</v>
      </c>
      <c r="BJ53" s="79">
        <v>314.68</v>
      </c>
      <c r="BK53" s="79">
        <v>314.68</v>
      </c>
      <c r="BL53" s="79">
        <v>314.68</v>
      </c>
      <c r="BM53" s="79">
        <v>314.68</v>
      </c>
      <c r="BN53" s="79">
        <v>314.68</v>
      </c>
      <c r="BO53" s="79">
        <v>314.68</v>
      </c>
      <c r="BP53" s="79">
        <v>314.68</v>
      </c>
      <c r="BQ53" s="79">
        <v>314.68</v>
      </c>
      <c r="BR53" s="79">
        <v>-2197.16</v>
      </c>
      <c r="BS53" s="79">
        <v>0</v>
      </c>
      <c r="BT53" s="79">
        <v>0</v>
      </c>
      <c r="BU53" s="79">
        <v>0</v>
      </c>
      <c r="BV53" s="79">
        <v>0</v>
      </c>
      <c r="BW53" s="79">
        <v>0</v>
      </c>
      <c r="BX53" s="79">
        <v>0</v>
      </c>
      <c r="BY53" s="79">
        <v>0</v>
      </c>
      <c r="BZ53" s="79">
        <v>0</v>
      </c>
      <c r="CA53" s="79">
        <v>0</v>
      </c>
      <c r="CB53" s="79">
        <v>0</v>
      </c>
      <c r="CC53" s="79">
        <v>0</v>
      </c>
    </row>
    <row r="54" spans="2:81" x14ac:dyDescent="0.25">
      <c r="B54" s="84" t="s">
        <v>107</v>
      </c>
      <c r="C54" s="79">
        <v>-1907.07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79">
        <v>0</v>
      </c>
      <c r="O54" s="79">
        <v>-1907.07</v>
      </c>
      <c r="P54" s="79">
        <v>0</v>
      </c>
      <c r="Q54" s="79">
        <v>0</v>
      </c>
      <c r="R54" s="79">
        <v>-0.2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79">
        <v>0</v>
      </c>
      <c r="AB54" s="79">
        <v>0</v>
      </c>
      <c r="AC54" s="79">
        <v>-1907.07</v>
      </c>
      <c r="AD54" s="79">
        <v>1907.07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 s="79">
        <v>0</v>
      </c>
      <c r="BF54" s="79">
        <v>0</v>
      </c>
      <c r="BG54" s="79">
        <v>0</v>
      </c>
      <c r="BH54" s="79">
        <v>0</v>
      </c>
      <c r="BI54" s="79">
        <v>0</v>
      </c>
      <c r="BJ54" s="79">
        <v>0</v>
      </c>
      <c r="BK54" s="79">
        <v>0</v>
      </c>
      <c r="BL54" s="79">
        <v>0</v>
      </c>
      <c r="BM54" s="79">
        <v>0</v>
      </c>
      <c r="BN54" s="79">
        <v>0</v>
      </c>
      <c r="BO54" s="79">
        <v>0</v>
      </c>
      <c r="BP54" s="79">
        <v>0</v>
      </c>
      <c r="BQ54" s="79">
        <v>0</v>
      </c>
      <c r="BR54" s="79">
        <v>-14542.83</v>
      </c>
      <c r="BS54" s="79">
        <v>-3609.64</v>
      </c>
      <c r="BT54" s="79">
        <v>0</v>
      </c>
      <c r="BU54" s="79">
        <v>0</v>
      </c>
      <c r="BV54" s="79">
        <v>0</v>
      </c>
      <c r="BW54" s="79">
        <v>0</v>
      </c>
      <c r="BX54" s="79">
        <v>0</v>
      </c>
      <c r="BY54" s="79">
        <v>0</v>
      </c>
      <c r="BZ54" s="79">
        <v>0</v>
      </c>
      <c r="CA54" s="79">
        <v>0</v>
      </c>
      <c r="CB54" s="79">
        <v>0</v>
      </c>
      <c r="CC54" s="79">
        <v>0</v>
      </c>
    </row>
    <row r="55" spans="2:81" x14ac:dyDescent="0.25">
      <c r="B55" s="84" t="s">
        <v>231</v>
      </c>
      <c r="C55" s="79">
        <v>-10182.6</v>
      </c>
      <c r="D55" s="79">
        <v>-886.25</v>
      </c>
      <c r="E55" s="79">
        <v>0</v>
      </c>
      <c r="F55" s="79">
        <v>0</v>
      </c>
      <c r="G55" s="79">
        <v>0</v>
      </c>
      <c r="H55" s="79">
        <v>0</v>
      </c>
      <c r="I55" s="79">
        <v>0</v>
      </c>
      <c r="J55" s="79">
        <v>0</v>
      </c>
      <c r="K55" s="79">
        <v>0</v>
      </c>
      <c r="L55" s="79">
        <v>0</v>
      </c>
      <c r="M55" s="79">
        <v>-9296.35</v>
      </c>
      <c r="N55" s="79">
        <v>-9296.35</v>
      </c>
      <c r="O55" s="79">
        <v>-9296.35</v>
      </c>
      <c r="P55" s="79">
        <v>-9296.35</v>
      </c>
      <c r="Q55" s="79">
        <v>0</v>
      </c>
      <c r="R55" s="79">
        <v>0</v>
      </c>
      <c r="S55" s="79">
        <v>0</v>
      </c>
      <c r="T55" s="79">
        <v>0</v>
      </c>
      <c r="U55" s="79">
        <v>0</v>
      </c>
      <c r="V55" s="79">
        <v>0</v>
      </c>
      <c r="W55" s="79">
        <v>0</v>
      </c>
      <c r="X55" s="79">
        <v>0</v>
      </c>
      <c r="Y55" s="79">
        <v>0</v>
      </c>
      <c r="Z55" s="79">
        <v>0</v>
      </c>
      <c r="AA55" s="79">
        <v>-9296.35</v>
      </c>
      <c r="AB55" s="79">
        <v>0</v>
      </c>
      <c r="AC55" s="79">
        <v>0</v>
      </c>
      <c r="AD55" s="79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8563.3799999999992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8563.3799999999992</v>
      </c>
      <c r="BC55">
        <v>0</v>
      </c>
      <c r="BD55">
        <v>9296.35</v>
      </c>
      <c r="BE55" s="79">
        <v>0</v>
      </c>
      <c r="BF55" s="79">
        <v>0</v>
      </c>
      <c r="BG55" s="79">
        <v>0</v>
      </c>
      <c r="BH55" s="79">
        <v>0</v>
      </c>
      <c r="BI55" s="79">
        <v>0</v>
      </c>
      <c r="BJ55" s="79">
        <v>0</v>
      </c>
      <c r="BK55" s="79">
        <v>0</v>
      </c>
      <c r="BL55" s="79">
        <v>0</v>
      </c>
      <c r="BM55" s="79">
        <v>0</v>
      </c>
      <c r="BN55" s="79">
        <v>0</v>
      </c>
      <c r="BO55" s="79">
        <v>0</v>
      </c>
      <c r="BP55" s="79">
        <v>0</v>
      </c>
      <c r="BQ55" s="79">
        <v>0</v>
      </c>
      <c r="BR55" s="79">
        <v>0</v>
      </c>
      <c r="BS55" s="79">
        <v>0</v>
      </c>
      <c r="BT55" s="79">
        <v>0</v>
      </c>
      <c r="BU55" s="79">
        <v>0</v>
      </c>
      <c r="BV55" s="79">
        <v>0</v>
      </c>
      <c r="BW55" s="79">
        <v>0</v>
      </c>
      <c r="BX55" s="79">
        <v>0</v>
      </c>
      <c r="BY55" s="79">
        <v>0</v>
      </c>
      <c r="BZ55" s="79">
        <v>0</v>
      </c>
      <c r="CA55" s="79">
        <v>0</v>
      </c>
      <c r="CB55" s="79">
        <v>0</v>
      </c>
      <c r="CC55" s="79">
        <v>0</v>
      </c>
    </row>
    <row r="56" spans="2:81" x14ac:dyDescent="0.25">
      <c r="B56" s="84" t="s">
        <v>285</v>
      </c>
      <c r="C56" s="79">
        <v>0</v>
      </c>
      <c r="D56" s="79">
        <v>0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79">
        <v>0</v>
      </c>
      <c r="N56" s="79">
        <v>0</v>
      </c>
      <c r="O56" s="79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79">
        <v>0</v>
      </c>
      <c r="V56" s="79">
        <v>0</v>
      </c>
      <c r="W56" s="79">
        <v>0</v>
      </c>
      <c r="X56" s="79">
        <v>0</v>
      </c>
      <c r="Y56" s="79">
        <v>0</v>
      </c>
      <c r="Z56" s="79">
        <v>0</v>
      </c>
      <c r="AA56" s="79">
        <v>0</v>
      </c>
      <c r="AB56" s="79">
        <v>0</v>
      </c>
      <c r="AC56" s="79">
        <v>0</v>
      </c>
      <c r="AD56" s="79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100</v>
      </c>
      <c r="BD56">
        <v>100</v>
      </c>
      <c r="BE56" s="79">
        <v>0</v>
      </c>
      <c r="BF56" s="79">
        <v>0</v>
      </c>
      <c r="BG56" s="79">
        <v>0</v>
      </c>
      <c r="BH56" s="79">
        <v>0</v>
      </c>
      <c r="BI56" s="79">
        <v>0</v>
      </c>
      <c r="BJ56" s="79">
        <v>0</v>
      </c>
      <c r="BK56" s="79">
        <v>0</v>
      </c>
      <c r="BL56" s="79">
        <v>0</v>
      </c>
      <c r="BM56" s="79">
        <v>0</v>
      </c>
      <c r="BN56" s="79">
        <v>0</v>
      </c>
      <c r="BO56" s="79">
        <v>0</v>
      </c>
      <c r="BP56" s="79">
        <v>0</v>
      </c>
      <c r="BQ56" s="79">
        <v>0</v>
      </c>
      <c r="BR56" s="79">
        <v>0</v>
      </c>
      <c r="BS56" s="79">
        <v>0</v>
      </c>
      <c r="BT56" s="79">
        <v>0</v>
      </c>
      <c r="BU56" s="79">
        <v>0</v>
      </c>
      <c r="BV56" s="79">
        <v>0</v>
      </c>
      <c r="BW56" s="79">
        <v>0</v>
      </c>
      <c r="BX56" s="79">
        <v>0</v>
      </c>
      <c r="BY56" s="79">
        <v>0</v>
      </c>
      <c r="BZ56" s="79">
        <v>0</v>
      </c>
      <c r="CA56" s="79">
        <v>0</v>
      </c>
      <c r="CB56" s="79">
        <v>0</v>
      </c>
      <c r="CC56" s="79">
        <v>0</v>
      </c>
    </row>
    <row r="57" spans="2:81" x14ac:dyDescent="0.25">
      <c r="B57" s="84" t="s">
        <v>232</v>
      </c>
      <c r="C57" s="79">
        <v>80718.33</v>
      </c>
      <c r="D57" s="79">
        <v>80718.33</v>
      </c>
      <c r="E57" s="79">
        <v>0</v>
      </c>
      <c r="F57" s="79">
        <v>0</v>
      </c>
      <c r="G57" s="79">
        <v>0</v>
      </c>
      <c r="H57" s="79">
        <v>0</v>
      </c>
      <c r="I57" s="79">
        <v>0</v>
      </c>
      <c r="J57" s="79">
        <v>0</v>
      </c>
      <c r="K57" s="79">
        <v>0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80718.33</v>
      </c>
      <c r="S57" s="79">
        <v>0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79">
        <v>0</v>
      </c>
      <c r="AD57" s="79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558690.80000000005</v>
      </c>
      <c r="BD57">
        <v>509969.50000000006</v>
      </c>
      <c r="BE57" s="79">
        <v>0</v>
      </c>
      <c r="BF57" s="79">
        <v>0</v>
      </c>
      <c r="BG57" s="79">
        <v>0</v>
      </c>
      <c r="BH57" s="79">
        <v>0</v>
      </c>
      <c r="BI57" s="79">
        <v>0</v>
      </c>
      <c r="BJ57" s="79">
        <v>0</v>
      </c>
      <c r="BK57" s="79">
        <v>0</v>
      </c>
      <c r="BL57" s="79">
        <v>0</v>
      </c>
      <c r="BM57" s="79">
        <v>0</v>
      </c>
      <c r="BN57" s="79">
        <v>0</v>
      </c>
      <c r="BO57" s="79">
        <v>0</v>
      </c>
      <c r="BP57" s="79">
        <v>0</v>
      </c>
      <c r="BQ57" s="79">
        <v>0</v>
      </c>
      <c r="BR57" s="79">
        <v>0</v>
      </c>
      <c r="BS57" s="79">
        <v>0</v>
      </c>
      <c r="BT57" s="79">
        <v>0</v>
      </c>
      <c r="BU57" s="79">
        <v>0</v>
      </c>
      <c r="BV57" s="79">
        <v>0</v>
      </c>
      <c r="BW57" s="79">
        <v>0</v>
      </c>
      <c r="BX57" s="79">
        <v>0</v>
      </c>
      <c r="BY57" s="79">
        <v>0</v>
      </c>
      <c r="BZ57" s="79">
        <v>0</v>
      </c>
      <c r="CA57" s="79">
        <v>0</v>
      </c>
      <c r="CB57" s="79">
        <v>0</v>
      </c>
      <c r="CC57" s="79">
        <v>0</v>
      </c>
    </row>
    <row r="58" spans="2:81" x14ac:dyDescent="0.25">
      <c r="B58" s="84" t="s">
        <v>286</v>
      </c>
      <c r="C58" s="79">
        <v>0</v>
      </c>
      <c r="D58" s="79">
        <v>0</v>
      </c>
      <c r="E58" s="79">
        <v>0</v>
      </c>
      <c r="F58" s="79">
        <v>0</v>
      </c>
      <c r="G58" s="79">
        <v>0</v>
      </c>
      <c r="H58" s="79">
        <v>0</v>
      </c>
      <c r="I58" s="79">
        <v>0</v>
      </c>
      <c r="J58" s="79">
        <v>0</v>
      </c>
      <c r="K58" s="79">
        <v>0</v>
      </c>
      <c r="L58" s="79">
        <v>0</v>
      </c>
      <c r="M58" s="79">
        <v>0</v>
      </c>
      <c r="N58" s="79">
        <v>0</v>
      </c>
      <c r="O58" s="79">
        <v>0</v>
      </c>
      <c r="P58" s="79">
        <v>0</v>
      </c>
      <c r="Q58" s="79">
        <v>0</v>
      </c>
      <c r="R58" s="79">
        <v>0</v>
      </c>
      <c r="S58" s="79">
        <v>0</v>
      </c>
      <c r="T58" s="79">
        <v>0</v>
      </c>
      <c r="U58" s="79">
        <v>0</v>
      </c>
      <c r="V58" s="79">
        <v>0</v>
      </c>
      <c r="W58" s="79">
        <v>0</v>
      </c>
      <c r="X58" s="79">
        <v>0</v>
      </c>
      <c r="Y58" s="79">
        <v>0</v>
      </c>
      <c r="Z58" s="79">
        <v>0</v>
      </c>
      <c r="AA58" s="79">
        <v>0</v>
      </c>
      <c r="AB58" s="79">
        <v>0</v>
      </c>
      <c r="AC58" s="79">
        <v>0</v>
      </c>
      <c r="AD58" s="79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 s="79">
        <v>0</v>
      </c>
      <c r="BF58" s="79">
        <v>0</v>
      </c>
      <c r="BG58" s="79">
        <v>0</v>
      </c>
      <c r="BH58" s="79">
        <v>0</v>
      </c>
      <c r="BI58" s="79">
        <v>0</v>
      </c>
      <c r="BJ58" s="79">
        <v>0</v>
      </c>
      <c r="BK58" s="79">
        <v>0</v>
      </c>
      <c r="BL58" s="79">
        <v>0</v>
      </c>
      <c r="BM58" s="79">
        <v>0</v>
      </c>
      <c r="BN58" s="79">
        <v>0</v>
      </c>
      <c r="BO58" s="79">
        <v>0</v>
      </c>
      <c r="BP58" s="79">
        <v>0</v>
      </c>
      <c r="BQ58" s="79">
        <v>0</v>
      </c>
      <c r="BR58" s="79">
        <v>0</v>
      </c>
      <c r="BS58" s="79">
        <v>0</v>
      </c>
      <c r="BT58" s="79">
        <v>0</v>
      </c>
      <c r="BU58" s="79">
        <v>0</v>
      </c>
      <c r="BV58" s="79">
        <v>0</v>
      </c>
      <c r="BW58" s="79">
        <v>0</v>
      </c>
      <c r="BX58" s="79">
        <v>0</v>
      </c>
      <c r="BY58" s="79">
        <v>0</v>
      </c>
      <c r="BZ58" s="79">
        <v>0</v>
      </c>
      <c r="CA58" s="79">
        <v>0</v>
      </c>
      <c r="CB58" s="79">
        <v>0</v>
      </c>
      <c r="CC58" s="79">
        <v>0</v>
      </c>
    </row>
    <row r="59" spans="2:81" x14ac:dyDescent="0.25">
      <c r="B59" s="84" t="s">
        <v>106</v>
      </c>
      <c r="C59" s="79">
        <v>1432157.38</v>
      </c>
      <c r="D59" s="79">
        <v>-0.1</v>
      </c>
      <c r="E59" s="79">
        <v>114054.47</v>
      </c>
      <c r="F59" s="79">
        <v>195892.94</v>
      </c>
      <c r="G59" s="79">
        <v>284109.39</v>
      </c>
      <c r="H59" s="79">
        <v>373674.63</v>
      </c>
      <c r="I59" s="79">
        <v>522870.16</v>
      </c>
      <c r="J59" s="79">
        <v>676765.93</v>
      </c>
      <c r="K59" s="79">
        <v>781410.59</v>
      </c>
      <c r="L59" s="79">
        <v>982294.63</v>
      </c>
      <c r="M59" s="79">
        <v>1135979.97</v>
      </c>
      <c r="N59" s="79">
        <v>1275913.6299999999</v>
      </c>
      <c r="O59" s="79">
        <v>1432157.48</v>
      </c>
      <c r="P59" s="79">
        <v>1628165.23</v>
      </c>
      <c r="Q59" s="79">
        <v>168939.75</v>
      </c>
      <c r="R59" s="79">
        <v>-1472391.38</v>
      </c>
      <c r="S59" s="79">
        <v>114054.47</v>
      </c>
      <c r="T59" s="79">
        <v>81838.47</v>
      </c>
      <c r="U59" s="79">
        <v>88216.45</v>
      </c>
      <c r="V59" s="79">
        <v>89565.24</v>
      </c>
      <c r="W59" s="79">
        <v>149195.53</v>
      </c>
      <c r="X59" s="79">
        <v>153895.76999999999</v>
      </c>
      <c r="Y59" s="79">
        <v>104644.66</v>
      </c>
      <c r="Z59" s="79">
        <v>200884.04</v>
      </c>
      <c r="AA59" s="79">
        <v>153685.34</v>
      </c>
      <c r="AB59" s="79">
        <v>139933.66</v>
      </c>
      <c r="AC59" s="79">
        <v>156243.85</v>
      </c>
      <c r="AD59" s="79">
        <v>196007.75</v>
      </c>
      <c r="AE59">
        <v>156580.95000000001</v>
      </c>
      <c r="AF59">
        <v>275526.15000000002</v>
      </c>
      <c r="AG59">
        <v>390552.68</v>
      </c>
      <c r="AH59">
        <v>498025.91</v>
      </c>
      <c r="AI59">
        <v>618349.87</v>
      </c>
      <c r="AJ59">
        <v>785434.11</v>
      </c>
      <c r="AK59">
        <v>974147.29</v>
      </c>
      <c r="AL59">
        <v>1094430.3600000001</v>
      </c>
      <c r="AM59">
        <v>1169124.8799999999</v>
      </c>
      <c r="AN59">
        <v>1357980.24</v>
      </c>
      <c r="AO59">
        <v>1496178.37</v>
      </c>
      <c r="AP59">
        <v>1656832.85</v>
      </c>
      <c r="AQ59">
        <v>156580.95000000001</v>
      </c>
      <c r="AR59">
        <v>118945.2</v>
      </c>
      <c r="AS59">
        <v>115026.53</v>
      </c>
      <c r="AT59">
        <v>107473.23</v>
      </c>
      <c r="AU59">
        <v>120323.96</v>
      </c>
      <c r="AV59">
        <v>167084.24</v>
      </c>
      <c r="AW59">
        <v>188713.18</v>
      </c>
      <c r="AX59">
        <v>120283.07</v>
      </c>
      <c r="AY59">
        <v>74694.52</v>
      </c>
      <c r="AZ59">
        <v>188855.36</v>
      </c>
      <c r="BA59">
        <v>138198.13</v>
      </c>
      <c r="BB59">
        <v>160654.48000000001</v>
      </c>
      <c r="BC59">
        <v>2.3283064365386963E-10</v>
      </c>
      <c r="BD59">
        <v>0</v>
      </c>
      <c r="BE59" s="79">
        <v>0</v>
      </c>
      <c r="BF59" s="79">
        <v>82969.42</v>
      </c>
      <c r="BG59" s="79">
        <v>140034.56</v>
      </c>
      <c r="BH59" s="79">
        <v>140034.56</v>
      </c>
      <c r="BI59" s="79">
        <v>140034.56</v>
      </c>
      <c r="BJ59" s="79">
        <v>140034.56</v>
      </c>
      <c r="BK59" s="79">
        <v>140034.56</v>
      </c>
      <c r="BL59" s="79">
        <v>140034.56</v>
      </c>
      <c r="BM59" s="79">
        <v>140034.56</v>
      </c>
      <c r="BN59" s="79">
        <v>140034.56</v>
      </c>
      <c r="BO59" s="79">
        <v>140034.56</v>
      </c>
      <c r="BP59" s="79">
        <v>140034.56</v>
      </c>
      <c r="BQ59" s="79">
        <v>140034.56</v>
      </c>
      <c r="BR59" s="79">
        <v>-2213.12</v>
      </c>
      <c r="BS59" s="79">
        <v>0</v>
      </c>
      <c r="BT59" s="79">
        <v>0</v>
      </c>
      <c r="BU59" s="79">
        <v>0</v>
      </c>
      <c r="BV59" s="79">
        <v>0</v>
      </c>
      <c r="BW59" s="79">
        <v>0</v>
      </c>
      <c r="BX59" s="79">
        <v>0</v>
      </c>
      <c r="BY59" s="79">
        <v>0</v>
      </c>
      <c r="BZ59" s="79">
        <v>0</v>
      </c>
      <c r="CA59" s="79">
        <v>0</v>
      </c>
      <c r="CB59" s="79">
        <v>0</v>
      </c>
      <c r="CC59" s="79">
        <v>0</v>
      </c>
    </row>
    <row r="60" spans="2:81" s="79" customFormat="1" x14ac:dyDescent="0.25">
      <c r="B60" s="84" t="s">
        <v>105</v>
      </c>
      <c r="C60" s="79">
        <v>-25804.79</v>
      </c>
      <c r="D60" s="79">
        <v>0</v>
      </c>
      <c r="E60" s="79">
        <v>-2973.66</v>
      </c>
      <c r="F60" s="79">
        <v>-5721.84</v>
      </c>
      <c r="G60" s="79">
        <v>-8173.46</v>
      </c>
      <c r="H60" s="79">
        <v>-10268.84</v>
      </c>
      <c r="I60" s="79">
        <v>-11206.59</v>
      </c>
      <c r="J60" s="79">
        <v>-13811.96</v>
      </c>
      <c r="K60" s="79">
        <v>-14907.23</v>
      </c>
      <c r="L60" s="79">
        <v>-16864.05</v>
      </c>
      <c r="M60" s="79">
        <v>-19809.330000000002</v>
      </c>
      <c r="N60" s="79">
        <v>-23797.72</v>
      </c>
      <c r="O60" s="79">
        <v>-25804.79</v>
      </c>
      <c r="P60" s="79">
        <v>-29550.32</v>
      </c>
      <c r="Q60" s="79">
        <v>-4005.3</v>
      </c>
      <c r="R60" s="79">
        <v>26019.5</v>
      </c>
      <c r="S60" s="79">
        <v>-2973.66</v>
      </c>
      <c r="T60" s="79">
        <v>-2748.18</v>
      </c>
      <c r="U60" s="79">
        <v>-2451.62</v>
      </c>
      <c r="V60" s="79">
        <v>-2095.38</v>
      </c>
      <c r="W60" s="79">
        <v>-937.75</v>
      </c>
      <c r="X60" s="79">
        <v>-2605.37</v>
      </c>
      <c r="Y60" s="79">
        <v>-1095.27</v>
      </c>
      <c r="Z60" s="79">
        <v>-1956.82</v>
      </c>
      <c r="AA60" s="79">
        <v>-2945.28</v>
      </c>
      <c r="AB60" s="79">
        <v>-3988.39</v>
      </c>
      <c r="AC60" s="79">
        <v>-2007.07</v>
      </c>
      <c r="AD60" s="79">
        <v>-3745.53</v>
      </c>
      <c r="AE60" s="79">
        <v>-1209.1300000000001</v>
      </c>
      <c r="AF60" s="79">
        <v>-4098.8900000000003</v>
      </c>
      <c r="AG60" s="79">
        <v>-9943.16</v>
      </c>
      <c r="AH60" s="79">
        <v>-12519.06</v>
      </c>
      <c r="AI60" s="79">
        <v>-15113.9</v>
      </c>
      <c r="AJ60" s="79">
        <v>-18219.62</v>
      </c>
      <c r="AK60" s="79">
        <v>-22031.62</v>
      </c>
      <c r="AL60" s="79">
        <v>-25777.7</v>
      </c>
      <c r="AM60" s="79">
        <v>-28908.32</v>
      </c>
      <c r="AN60" s="79">
        <v>-32218.14</v>
      </c>
      <c r="AO60" s="79">
        <v>-34550.9</v>
      </c>
      <c r="AP60" s="79">
        <v>-37785.879999999997</v>
      </c>
      <c r="AQ60" s="79">
        <v>-1209.1300000000001</v>
      </c>
      <c r="AR60" s="79">
        <v>-2889.76</v>
      </c>
      <c r="AS60" s="79">
        <v>-5844.27</v>
      </c>
      <c r="AT60" s="79">
        <v>-2575.9</v>
      </c>
      <c r="AU60" s="79">
        <v>-2594.84</v>
      </c>
      <c r="AV60" s="79">
        <v>-3105.72</v>
      </c>
      <c r="AW60" s="79">
        <v>-3812</v>
      </c>
      <c r="AX60" s="79">
        <v>-3746.08</v>
      </c>
      <c r="AY60" s="79">
        <v>-3130.62</v>
      </c>
      <c r="AZ60" s="79">
        <v>-3309.82</v>
      </c>
      <c r="BA60" s="79">
        <v>-2332.7600000000002</v>
      </c>
      <c r="BB60" s="79">
        <v>-3234.98</v>
      </c>
      <c r="BC60" s="79">
        <v>0</v>
      </c>
      <c r="BD60" s="79">
        <v>0</v>
      </c>
      <c r="BE60" s="79">
        <v>0</v>
      </c>
      <c r="BF60" s="79">
        <v>-970.95</v>
      </c>
      <c r="BG60" s="79">
        <v>-1108</v>
      </c>
      <c r="BH60" s="79">
        <v>-1108</v>
      </c>
      <c r="BI60" s="79">
        <v>-1108</v>
      </c>
      <c r="BJ60" s="79">
        <v>-1108</v>
      </c>
      <c r="BK60" s="79">
        <v>-1108</v>
      </c>
      <c r="BL60" s="79">
        <v>-1108</v>
      </c>
      <c r="BM60" s="79">
        <v>-1108</v>
      </c>
      <c r="BN60" s="79">
        <v>-1108</v>
      </c>
      <c r="BO60" s="79">
        <v>-1108</v>
      </c>
      <c r="BP60" s="79">
        <v>-1108</v>
      </c>
      <c r="BQ60" s="79">
        <v>-1108</v>
      </c>
      <c r="BR60" s="79">
        <v>-970.95</v>
      </c>
      <c r="BS60" s="79">
        <v>-137.05000000000001</v>
      </c>
      <c r="BT60" s="79">
        <v>0</v>
      </c>
      <c r="BU60" s="79">
        <v>0</v>
      </c>
      <c r="BV60" s="79">
        <v>0</v>
      </c>
      <c r="BW60" s="79">
        <v>0</v>
      </c>
      <c r="BX60" s="79">
        <v>0</v>
      </c>
      <c r="BY60" s="79">
        <v>0</v>
      </c>
      <c r="BZ60" s="79">
        <v>0</v>
      </c>
      <c r="CA60" s="79">
        <v>0</v>
      </c>
      <c r="CB60" s="79">
        <v>0</v>
      </c>
      <c r="CC60" s="79">
        <v>0</v>
      </c>
    </row>
    <row r="61" spans="2:81" s="79" customFormat="1" x14ac:dyDescent="0.25">
      <c r="B61" s="84" t="s">
        <v>104</v>
      </c>
      <c r="C61" s="79">
        <v>-31451.82</v>
      </c>
      <c r="D61" s="79">
        <v>0</v>
      </c>
      <c r="E61" s="79">
        <v>-2456.41</v>
      </c>
      <c r="F61" s="79">
        <v>-4091.12</v>
      </c>
      <c r="G61" s="79">
        <v>-6720.75</v>
      </c>
      <c r="H61" s="79">
        <v>-8718.25</v>
      </c>
      <c r="I61" s="79">
        <v>-12291.09</v>
      </c>
      <c r="J61" s="79">
        <v>-14950.12</v>
      </c>
      <c r="K61" s="79">
        <v>-18389.05</v>
      </c>
      <c r="L61" s="79">
        <v>-21773.9</v>
      </c>
      <c r="M61" s="79">
        <v>-27081.99</v>
      </c>
      <c r="N61" s="79">
        <v>-29151.18</v>
      </c>
      <c r="O61" s="79">
        <v>-31451.82</v>
      </c>
      <c r="P61" s="79">
        <v>-36281.97</v>
      </c>
      <c r="Q61" s="79">
        <v>-2665.17</v>
      </c>
      <c r="R61" s="79">
        <v>28379.87</v>
      </c>
      <c r="S61" s="79">
        <v>-2456.41</v>
      </c>
      <c r="T61" s="79">
        <v>-1634.71</v>
      </c>
      <c r="U61" s="79">
        <v>-2629.63</v>
      </c>
      <c r="V61" s="79">
        <v>-1997.5</v>
      </c>
      <c r="W61" s="79">
        <v>-3572.84</v>
      </c>
      <c r="X61" s="79">
        <v>-2659.03</v>
      </c>
      <c r="Y61" s="79">
        <v>-3438.93</v>
      </c>
      <c r="Z61" s="79">
        <v>-3384.85</v>
      </c>
      <c r="AA61" s="79">
        <v>-5308.09</v>
      </c>
      <c r="AB61" s="79">
        <v>-2069.19</v>
      </c>
      <c r="AC61" s="79">
        <v>-2300.64</v>
      </c>
      <c r="AD61" s="79">
        <v>-4830.1499999999996</v>
      </c>
      <c r="AE61" s="79">
        <v>-5171.0600000000004</v>
      </c>
      <c r="AF61" s="79">
        <v>-8234.0300000000007</v>
      </c>
      <c r="AG61" s="79">
        <v>-10435.98</v>
      </c>
      <c r="AH61" s="79">
        <v>-13335.38</v>
      </c>
      <c r="AI61" s="79">
        <v>-16616.36</v>
      </c>
      <c r="AJ61" s="79">
        <v>-19955.29</v>
      </c>
      <c r="AK61" s="79">
        <v>-22483.48</v>
      </c>
      <c r="AL61" s="79">
        <v>-27408.720000000001</v>
      </c>
      <c r="AM61" s="79">
        <v>-30347.63</v>
      </c>
      <c r="AN61" s="79">
        <v>-33688.800000000003</v>
      </c>
      <c r="AO61" s="79">
        <v>-35866.660000000003</v>
      </c>
      <c r="AP61" s="79">
        <v>-39515.32</v>
      </c>
      <c r="AQ61" s="79">
        <v>-5171.0600000000004</v>
      </c>
      <c r="AR61" s="79">
        <v>-3062.97</v>
      </c>
      <c r="AS61" s="79">
        <v>-2201.9499999999998</v>
      </c>
      <c r="AT61" s="79">
        <v>-2899.4</v>
      </c>
      <c r="AU61" s="79">
        <v>-3280.98</v>
      </c>
      <c r="AV61" s="79">
        <v>-3338.93</v>
      </c>
      <c r="AW61" s="79">
        <v>-2528.19</v>
      </c>
      <c r="AX61" s="79">
        <v>-4925.24</v>
      </c>
      <c r="AY61" s="79">
        <v>-2938.91</v>
      </c>
      <c r="AZ61" s="79">
        <v>-3341.17</v>
      </c>
      <c r="BA61" s="79">
        <v>-2177.86</v>
      </c>
      <c r="BB61" s="79">
        <v>-3648.66</v>
      </c>
      <c r="BC61" s="79">
        <v>0</v>
      </c>
      <c r="BD61" s="79">
        <v>0</v>
      </c>
      <c r="BE61" s="79">
        <v>0</v>
      </c>
      <c r="BF61" s="79">
        <v>-3049.54</v>
      </c>
      <c r="BG61" s="79">
        <v>-3759.31</v>
      </c>
      <c r="BH61" s="79">
        <v>-3759.31</v>
      </c>
      <c r="BI61" s="79">
        <v>-3759.31</v>
      </c>
      <c r="BJ61" s="79">
        <v>-3759.31</v>
      </c>
      <c r="BK61" s="79">
        <v>-3759.31</v>
      </c>
      <c r="BL61" s="79">
        <v>-3759.31</v>
      </c>
      <c r="BM61" s="79">
        <v>-3759.31</v>
      </c>
      <c r="BN61" s="79">
        <v>-3759.31</v>
      </c>
      <c r="BO61" s="79">
        <v>-3759.31</v>
      </c>
      <c r="BP61" s="79">
        <v>-3759.31</v>
      </c>
      <c r="BQ61" s="79">
        <v>-3759.31</v>
      </c>
      <c r="BR61" s="79">
        <v>-3103.54</v>
      </c>
      <c r="BS61" s="79">
        <v>-749.77</v>
      </c>
      <c r="BT61" s="79">
        <v>0</v>
      </c>
      <c r="BU61" s="79">
        <v>0</v>
      </c>
      <c r="BV61" s="79">
        <v>0</v>
      </c>
      <c r="BW61" s="79">
        <v>0</v>
      </c>
      <c r="BX61" s="79">
        <v>0</v>
      </c>
      <c r="BY61" s="79">
        <v>0</v>
      </c>
      <c r="BZ61" s="79">
        <v>0</v>
      </c>
      <c r="CA61" s="79">
        <v>0</v>
      </c>
      <c r="CB61" s="79">
        <v>0</v>
      </c>
      <c r="CC61" s="79">
        <v>0</v>
      </c>
    </row>
    <row r="62" spans="2:81" x14ac:dyDescent="0.25">
      <c r="B62" s="84" t="s">
        <v>131</v>
      </c>
      <c r="C62" s="79">
        <v>-891120.09</v>
      </c>
      <c r="D62" s="79">
        <v>0</v>
      </c>
      <c r="E62" s="79">
        <v>-71570.42</v>
      </c>
      <c r="F62" s="79">
        <v>-120775.23</v>
      </c>
      <c r="G62" s="79">
        <v>-174633.47</v>
      </c>
      <c r="H62" s="79">
        <v>-228915.19</v>
      </c>
      <c r="I62" s="79">
        <v>-324071.51</v>
      </c>
      <c r="J62" s="79">
        <v>-425219.51</v>
      </c>
      <c r="K62" s="79">
        <v>-487318.51</v>
      </c>
      <c r="L62" s="79">
        <v>-616999.51</v>
      </c>
      <c r="M62" s="79">
        <v>-707074.99</v>
      </c>
      <c r="N62" s="79">
        <v>-790822.36</v>
      </c>
      <c r="O62" s="79">
        <v>-891120.09</v>
      </c>
      <c r="P62" s="79">
        <v>-1006412.12</v>
      </c>
      <c r="Q62" s="79">
        <v>-112637.69</v>
      </c>
      <c r="R62" s="79">
        <v>954099.05</v>
      </c>
      <c r="S62" s="79">
        <v>-71570.42</v>
      </c>
      <c r="T62" s="79">
        <v>-49204.81</v>
      </c>
      <c r="U62" s="79">
        <v>-53858.239999999998</v>
      </c>
      <c r="V62" s="79">
        <v>-54281.72</v>
      </c>
      <c r="W62" s="79">
        <v>-95156.32</v>
      </c>
      <c r="X62" s="79">
        <v>-101148</v>
      </c>
      <c r="Y62" s="79">
        <v>-62099</v>
      </c>
      <c r="Z62" s="79">
        <v>-129681</v>
      </c>
      <c r="AA62" s="79">
        <v>-90075.48</v>
      </c>
      <c r="AB62" s="79">
        <v>-83747.37</v>
      </c>
      <c r="AC62" s="79">
        <v>-100297.73</v>
      </c>
      <c r="AD62" s="79">
        <v>-115292.03</v>
      </c>
      <c r="AE62">
        <v>-91169.17</v>
      </c>
      <c r="AF62">
        <v>-161455.10999999999</v>
      </c>
      <c r="AG62">
        <v>-238103.47</v>
      </c>
      <c r="AH62">
        <v>-304224.07</v>
      </c>
      <c r="AI62">
        <v>-373857.19</v>
      </c>
      <c r="AJ62">
        <v>-477249.23</v>
      </c>
      <c r="AK62">
        <v>-597005.49</v>
      </c>
      <c r="AL62">
        <v>-668513.97</v>
      </c>
      <c r="AM62">
        <v>-710481.97</v>
      </c>
      <c r="AN62">
        <v>-832653.83</v>
      </c>
      <c r="AO62">
        <v>-920189.26</v>
      </c>
      <c r="AP62">
        <v>-1015669.54</v>
      </c>
      <c r="AQ62">
        <v>-91169.17</v>
      </c>
      <c r="AR62">
        <v>-70285.94</v>
      </c>
      <c r="AS62">
        <v>-76648.36</v>
      </c>
      <c r="AT62">
        <v>-66120.600000000006</v>
      </c>
      <c r="AU62">
        <v>-69633.119999999995</v>
      </c>
      <c r="AV62">
        <v>-103392.04</v>
      </c>
      <c r="AW62">
        <v>-119756.26</v>
      </c>
      <c r="AX62">
        <v>-71508.479999999996</v>
      </c>
      <c r="AY62">
        <v>-41968</v>
      </c>
      <c r="AZ62">
        <v>-122171.86</v>
      </c>
      <c r="BA62">
        <v>-87535.43</v>
      </c>
      <c r="BB62">
        <v>-95480.28</v>
      </c>
      <c r="BC62">
        <v>0</v>
      </c>
      <c r="BD62">
        <v>0</v>
      </c>
      <c r="BE62" s="79">
        <v>0</v>
      </c>
      <c r="BF62" s="79">
        <v>-45857.39</v>
      </c>
      <c r="BG62" s="79">
        <v>-45857.39</v>
      </c>
      <c r="BH62" s="79">
        <v>-45857.39</v>
      </c>
      <c r="BI62" s="79">
        <v>-45857.39</v>
      </c>
      <c r="BJ62" s="79">
        <v>-45857.39</v>
      </c>
      <c r="BK62" s="79">
        <v>-45857.39</v>
      </c>
      <c r="BL62" s="79">
        <v>-45857.39</v>
      </c>
      <c r="BM62" s="79">
        <v>-45857.39</v>
      </c>
      <c r="BN62" s="79">
        <v>-45857.39</v>
      </c>
      <c r="BO62" s="79">
        <v>-45857.39</v>
      </c>
      <c r="BP62" s="79">
        <v>-45857.39</v>
      </c>
      <c r="BQ62" s="79">
        <v>-45857.39</v>
      </c>
      <c r="BR62" s="79">
        <v>-45857.39</v>
      </c>
      <c r="BS62" s="79">
        <v>0</v>
      </c>
      <c r="BT62" s="79">
        <v>0</v>
      </c>
      <c r="BU62" s="79">
        <v>0</v>
      </c>
      <c r="BV62" s="79">
        <v>0</v>
      </c>
      <c r="BW62" s="79">
        <v>0</v>
      </c>
      <c r="BX62" s="79">
        <v>0</v>
      </c>
      <c r="BY62" s="79">
        <v>0</v>
      </c>
      <c r="BZ62" s="79">
        <v>0</v>
      </c>
      <c r="CA62" s="79">
        <v>0</v>
      </c>
      <c r="CB62" s="79">
        <v>0</v>
      </c>
      <c r="CC62" s="79">
        <v>0</v>
      </c>
    </row>
    <row r="63" spans="2:81" x14ac:dyDescent="0.25">
      <c r="B63" s="84" t="s">
        <v>233</v>
      </c>
      <c r="C63" s="79">
        <v>0</v>
      </c>
      <c r="D63" s="79">
        <v>0</v>
      </c>
      <c r="E63" s="79">
        <v>0</v>
      </c>
      <c r="F63" s="79">
        <v>0</v>
      </c>
      <c r="G63" s="79">
        <v>0</v>
      </c>
      <c r="H63" s="79">
        <v>0</v>
      </c>
      <c r="I63" s="79">
        <v>0</v>
      </c>
      <c r="J63" s="79">
        <v>0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31593.25</v>
      </c>
      <c r="Q63" s="79">
        <v>0</v>
      </c>
      <c r="R63" s="79">
        <v>0</v>
      </c>
      <c r="S63" s="79">
        <v>0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31593.25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 s="79">
        <v>0</v>
      </c>
      <c r="BF63" s="79">
        <v>0</v>
      </c>
      <c r="BG63" s="79">
        <v>0</v>
      </c>
      <c r="BH63" s="79">
        <v>0</v>
      </c>
      <c r="BI63" s="79">
        <v>0</v>
      </c>
      <c r="BJ63" s="79">
        <v>0</v>
      </c>
      <c r="BK63" s="79">
        <v>0</v>
      </c>
      <c r="BL63" s="79">
        <v>0</v>
      </c>
      <c r="BM63" s="79">
        <v>0</v>
      </c>
      <c r="BN63" s="79">
        <v>0</v>
      </c>
      <c r="BO63" s="79">
        <v>0</v>
      </c>
      <c r="BP63" s="79">
        <v>0</v>
      </c>
      <c r="BQ63" s="79">
        <v>0</v>
      </c>
      <c r="BR63" s="79">
        <v>0</v>
      </c>
      <c r="BS63" s="79">
        <v>0</v>
      </c>
      <c r="BT63" s="79">
        <v>0</v>
      </c>
      <c r="BU63" s="79">
        <v>0</v>
      </c>
      <c r="BV63" s="79">
        <v>0</v>
      </c>
      <c r="BW63" s="79">
        <v>0</v>
      </c>
      <c r="BX63" s="79">
        <v>0</v>
      </c>
      <c r="BY63" s="79">
        <v>0</v>
      </c>
      <c r="BZ63" s="79">
        <v>0</v>
      </c>
      <c r="CA63" s="79">
        <v>0</v>
      </c>
      <c r="CB63" s="79">
        <v>0</v>
      </c>
      <c r="CC63" s="79">
        <v>0</v>
      </c>
    </row>
    <row r="64" spans="2:81" x14ac:dyDescent="0.25">
      <c r="B64" s="84" t="s">
        <v>103</v>
      </c>
      <c r="C64" s="79">
        <v>-6451.07</v>
      </c>
      <c r="D64" s="79">
        <v>0</v>
      </c>
      <c r="E64" s="79">
        <v>-565.13</v>
      </c>
      <c r="F64" s="79">
        <v>-973.87</v>
      </c>
      <c r="G64" s="79">
        <v>-1444.86</v>
      </c>
      <c r="H64" s="79">
        <v>-1662.16</v>
      </c>
      <c r="I64" s="79">
        <v>-2105.85</v>
      </c>
      <c r="J64" s="79">
        <v>-2419.31</v>
      </c>
      <c r="K64" s="79">
        <v>-2731.24</v>
      </c>
      <c r="L64" s="79">
        <v>-3941.87</v>
      </c>
      <c r="M64" s="79">
        <v>-4839.1099999999997</v>
      </c>
      <c r="N64" s="79">
        <v>-5947.14</v>
      </c>
      <c r="O64" s="79">
        <v>-6451.07</v>
      </c>
      <c r="P64" s="79">
        <v>-6687.38</v>
      </c>
      <c r="Q64" s="79">
        <v>-143.94999999999999</v>
      </c>
      <c r="R64" s="79">
        <v>5047.3599999999997</v>
      </c>
      <c r="S64" s="79">
        <v>-565.13</v>
      </c>
      <c r="T64" s="79">
        <v>-408.74</v>
      </c>
      <c r="U64" s="79">
        <v>-470.99</v>
      </c>
      <c r="V64" s="79">
        <v>-217.3</v>
      </c>
      <c r="W64" s="79">
        <v>-443.69</v>
      </c>
      <c r="X64" s="79">
        <v>-313.45999999999998</v>
      </c>
      <c r="Y64" s="79">
        <v>-311.93</v>
      </c>
      <c r="Z64" s="79">
        <v>-1210.6300000000001</v>
      </c>
      <c r="AA64" s="79">
        <v>-897.24</v>
      </c>
      <c r="AB64" s="79">
        <v>-1108.03</v>
      </c>
      <c r="AC64" s="79">
        <v>-503.93</v>
      </c>
      <c r="AD64" s="79">
        <v>-236.31</v>
      </c>
      <c r="AE64">
        <v>-1430.99</v>
      </c>
      <c r="AF64">
        <v>-6883.81</v>
      </c>
      <c r="AG64">
        <v>-9959.4500000000007</v>
      </c>
      <c r="AH64">
        <v>-10390.16</v>
      </c>
      <c r="AI64">
        <v>-10653.09</v>
      </c>
      <c r="AJ64">
        <v>-11149.2</v>
      </c>
      <c r="AK64">
        <v>-11499.89</v>
      </c>
      <c r="AL64">
        <v>-12570.44</v>
      </c>
      <c r="AM64">
        <v>-13710.5</v>
      </c>
      <c r="AN64">
        <v>-14066.56</v>
      </c>
      <c r="AO64">
        <v>-15659.9</v>
      </c>
      <c r="AP64">
        <v>-15686.32</v>
      </c>
      <c r="AQ64">
        <v>-1430.99</v>
      </c>
      <c r="AR64">
        <v>-5452.82</v>
      </c>
      <c r="AS64">
        <v>-3075.64</v>
      </c>
      <c r="AT64">
        <v>-430.71</v>
      </c>
      <c r="AU64">
        <v>-262.93</v>
      </c>
      <c r="AV64">
        <v>-496.11</v>
      </c>
      <c r="AW64">
        <v>-350.69</v>
      </c>
      <c r="AX64">
        <v>-1070.55</v>
      </c>
      <c r="AY64">
        <v>-1140.06</v>
      </c>
      <c r="AZ64">
        <v>-356.06</v>
      </c>
      <c r="BA64">
        <v>-1593.34</v>
      </c>
      <c r="BB64">
        <v>-26.42</v>
      </c>
      <c r="BC64">
        <v>9.0949470177292824E-13</v>
      </c>
      <c r="BD64">
        <v>0</v>
      </c>
      <c r="BE64" s="79">
        <v>0</v>
      </c>
      <c r="BF64" s="79">
        <v>-773.39</v>
      </c>
      <c r="BG64" s="79">
        <v>-1146.98</v>
      </c>
      <c r="BH64" s="79">
        <v>-1146.98</v>
      </c>
      <c r="BI64" s="79">
        <v>-1146.98</v>
      </c>
      <c r="BJ64" s="79">
        <v>-1146.98</v>
      </c>
      <c r="BK64" s="79">
        <v>-1146.98</v>
      </c>
      <c r="BL64" s="79">
        <v>-1146.98</v>
      </c>
      <c r="BM64" s="79">
        <v>-1146.98</v>
      </c>
      <c r="BN64" s="79">
        <v>-1146.98</v>
      </c>
      <c r="BO64" s="79">
        <v>-1146.98</v>
      </c>
      <c r="BP64" s="79">
        <v>-1146.98</v>
      </c>
      <c r="BQ64" s="79">
        <v>-1146.98</v>
      </c>
      <c r="BR64" s="79">
        <v>-773.39</v>
      </c>
      <c r="BS64" s="79">
        <v>-373.59</v>
      </c>
      <c r="BT64" s="79">
        <v>0</v>
      </c>
      <c r="BU64" s="79">
        <v>0</v>
      </c>
      <c r="BV64" s="79">
        <v>0</v>
      </c>
      <c r="BW64" s="79">
        <v>0</v>
      </c>
      <c r="BX64" s="79">
        <v>0</v>
      </c>
      <c r="BY64" s="79">
        <v>0</v>
      </c>
      <c r="BZ64" s="79">
        <v>0</v>
      </c>
      <c r="CA64" s="79">
        <v>0</v>
      </c>
      <c r="CB64" s="79">
        <v>0</v>
      </c>
      <c r="CC64" s="79">
        <v>0</v>
      </c>
    </row>
    <row r="65" spans="2:81" x14ac:dyDescent="0.25">
      <c r="B65" s="84" t="s">
        <v>102</v>
      </c>
      <c r="C65" s="79">
        <v>-19913.72</v>
      </c>
      <c r="D65" s="79">
        <v>0</v>
      </c>
      <c r="E65" s="79">
        <v>-1585.42</v>
      </c>
      <c r="F65" s="79">
        <v>-3193.92</v>
      </c>
      <c r="G65" s="79">
        <v>-4794.07</v>
      </c>
      <c r="H65" s="79">
        <v>-6349.27</v>
      </c>
      <c r="I65" s="79">
        <v>-8377.27</v>
      </c>
      <c r="J65" s="79">
        <v>-10433.02</v>
      </c>
      <c r="K65" s="79">
        <v>-12095.02</v>
      </c>
      <c r="L65" s="79">
        <v>-14765.99</v>
      </c>
      <c r="M65" s="79">
        <v>-16371.19</v>
      </c>
      <c r="N65" s="79">
        <v>-18088.490000000002</v>
      </c>
      <c r="O65" s="79">
        <v>-19913.72</v>
      </c>
      <c r="P65" s="79">
        <v>-21519.02</v>
      </c>
      <c r="Q65" s="79">
        <v>-1557.3</v>
      </c>
      <c r="R65" s="79">
        <v>17378.2</v>
      </c>
      <c r="S65" s="79">
        <v>-1585.42</v>
      </c>
      <c r="T65" s="79">
        <v>-1608.5</v>
      </c>
      <c r="U65" s="79">
        <v>-1600.15</v>
      </c>
      <c r="V65" s="79">
        <v>-1555.2</v>
      </c>
      <c r="W65" s="79">
        <v>-2028</v>
      </c>
      <c r="X65" s="79">
        <v>-2055.75</v>
      </c>
      <c r="Y65" s="79">
        <v>-1662</v>
      </c>
      <c r="Z65" s="79">
        <v>-2670.97</v>
      </c>
      <c r="AA65" s="79">
        <v>-1605.2</v>
      </c>
      <c r="AB65" s="79">
        <v>-1717.3</v>
      </c>
      <c r="AC65" s="79">
        <v>-1825.23</v>
      </c>
      <c r="AD65" s="79">
        <v>-1605.3</v>
      </c>
      <c r="AE65">
        <v>-1569.5</v>
      </c>
      <c r="AF65">
        <v>-7687.33</v>
      </c>
      <c r="AG65">
        <v>-9341.0300000000007</v>
      </c>
      <c r="AH65">
        <v>-10995.42</v>
      </c>
      <c r="AI65">
        <v>-13645.92</v>
      </c>
      <c r="AJ65">
        <v>-17197.5</v>
      </c>
      <c r="AK65">
        <v>-18794</v>
      </c>
      <c r="AL65">
        <v>-20294</v>
      </c>
      <c r="AM65">
        <v>-21924.15</v>
      </c>
      <c r="AN65">
        <v>-23575.55</v>
      </c>
      <c r="AO65">
        <v>-26024.18</v>
      </c>
      <c r="AP65">
        <v>-28912.41</v>
      </c>
      <c r="AQ65">
        <v>-1569.5</v>
      </c>
      <c r="AR65">
        <v>-6117.83</v>
      </c>
      <c r="AS65">
        <v>-1653.7</v>
      </c>
      <c r="AT65">
        <v>-1654.39</v>
      </c>
      <c r="AU65">
        <v>-2650.5</v>
      </c>
      <c r="AV65">
        <v>-3551.58</v>
      </c>
      <c r="AW65">
        <v>-1596.5</v>
      </c>
      <c r="AX65">
        <v>-1500</v>
      </c>
      <c r="AY65">
        <v>-1630.15</v>
      </c>
      <c r="AZ65">
        <v>-1651.4</v>
      </c>
      <c r="BA65">
        <v>-2448.63</v>
      </c>
      <c r="BB65">
        <v>-2888.23</v>
      </c>
      <c r="BC65">
        <v>0</v>
      </c>
      <c r="BD65">
        <v>0</v>
      </c>
      <c r="BE65" s="79">
        <v>0</v>
      </c>
      <c r="BF65" s="79">
        <v>-1942.45</v>
      </c>
      <c r="BG65" s="79">
        <v>-2472.21</v>
      </c>
      <c r="BH65" s="79">
        <v>-2472.21</v>
      </c>
      <c r="BI65" s="79">
        <v>-2472.21</v>
      </c>
      <c r="BJ65" s="79">
        <v>-2472.21</v>
      </c>
      <c r="BK65" s="79">
        <v>-2472.21</v>
      </c>
      <c r="BL65" s="79">
        <v>-2472.21</v>
      </c>
      <c r="BM65" s="79">
        <v>-2472.21</v>
      </c>
      <c r="BN65" s="79">
        <v>-2472.21</v>
      </c>
      <c r="BO65" s="79">
        <v>-2472.21</v>
      </c>
      <c r="BP65" s="79">
        <v>-2472.21</v>
      </c>
      <c r="BQ65" s="79">
        <v>-2472.21</v>
      </c>
      <c r="BR65" s="79">
        <v>-1942.45</v>
      </c>
      <c r="BS65" s="79">
        <v>-529.76</v>
      </c>
      <c r="BT65" s="79">
        <v>0</v>
      </c>
      <c r="BU65" s="79">
        <v>0</v>
      </c>
      <c r="BV65" s="79">
        <v>0</v>
      </c>
      <c r="BW65" s="79">
        <v>0</v>
      </c>
      <c r="BX65" s="79">
        <v>0</v>
      </c>
      <c r="BY65" s="79">
        <v>0</v>
      </c>
      <c r="BZ65" s="79">
        <v>0</v>
      </c>
      <c r="CA65" s="79">
        <v>0</v>
      </c>
      <c r="CB65" s="79">
        <v>0</v>
      </c>
      <c r="CC65" s="79">
        <v>0</v>
      </c>
    </row>
    <row r="66" spans="2:81" x14ac:dyDescent="0.25">
      <c r="B66" s="84" t="s">
        <v>130</v>
      </c>
      <c r="C66" s="79">
        <v>-7321.29</v>
      </c>
      <c r="D66" s="79">
        <v>0</v>
      </c>
      <c r="E66" s="79">
        <v>-1662.46</v>
      </c>
      <c r="F66" s="79">
        <v>-3113.82</v>
      </c>
      <c r="G66" s="79">
        <v>-3113.82</v>
      </c>
      <c r="H66" s="79">
        <v>-4528.82</v>
      </c>
      <c r="I66" s="79">
        <v>-4528.82</v>
      </c>
      <c r="J66" s="79">
        <v>-4528.82</v>
      </c>
      <c r="K66" s="79">
        <v>-5969.46</v>
      </c>
      <c r="L66" s="79">
        <v>-7221.29</v>
      </c>
      <c r="M66" s="79">
        <v>-7221.29</v>
      </c>
      <c r="N66" s="79">
        <v>-7221.29</v>
      </c>
      <c r="O66" s="79">
        <v>-7321.29</v>
      </c>
      <c r="P66" s="79">
        <v>-7321.29</v>
      </c>
      <c r="Q66" s="79">
        <v>-466.67</v>
      </c>
      <c r="R66" s="79">
        <v>6546.12</v>
      </c>
      <c r="S66" s="79">
        <v>-1662.46</v>
      </c>
      <c r="T66" s="79">
        <v>-1451.36</v>
      </c>
      <c r="U66" s="79">
        <v>0</v>
      </c>
      <c r="V66" s="79">
        <v>-1415</v>
      </c>
      <c r="W66" s="79">
        <v>0</v>
      </c>
      <c r="X66" s="79">
        <v>0</v>
      </c>
      <c r="Y66" s="79">
        <v>-1440.64</v>
      </c>
      <c r="Z66" s="79">
        <v>-1251.83</v>
      </c>
      <c r="AA66" s="79">
        <v>0</v>
      </c>
      <c r="AB66" s="79">
        <v>0</v>
      </c>
      <c r="AC66" s="79">
        <v>-100</v>
      </c>
      <c r="AD66" s="79">
        <v>0</v>
      </c>
      <c r="AE66">
        <v>-1325</v>
      </c>
      <c r="AF66">
        <v>-2578.98</v>
      </c>
      <c r="AG66">
        <v>-2578.98</v>
      </c>
      <c r="AH66">
        <v>-2578.98</v>
      </c>
      <c r="AI66">
        <v>-3003.98</v>
      </c>
      <c r="AJ66">
        <v>-3003.98</v>
      </c>
      <c r="AK66">
        <v>-4328.9799999999996</v>
      </c>
      <c r="AL66">
        <v>-6044</v>
      </c>
      <c r="AM66">
        <v>-6044</v>
      </c>
      <c r="AN66">
        <v>-6089</v>
      </c>
      <c r="AO66">
        <v>-6213.85</v>
      </c>
      <c r="AP66">
        <v>-6265.43</v>
      </c>
      <c r="AQ66">
        <v>-1325</v>
      </c>
      <c r="AR66">
        <v>-1253.98</v>
      </c>
      <c r="AS66">
        <v>0</v>
      </c>
      <c r="AT66">
        <v>0</v>
      </c>
      <c r="AU66">
        <v>-425</v>
      </c>
      <c r="AV66">
        <v>0</v>
      </c>
      <c r="AW66">
        <v>-1325</v>
      </c>
      <c r="AX66">
        <v>-1715.02</v>
      </c>
      <c r="AY66">
        <v>0</v>
      </c>
      <c r="AZ66">
        <v>-45</v>
      </c>
      <c r="BA66">
        <v>-124.85</v>
      </c>
      <c r="BB66">
        <v>-51.58</v>
      </c>
      <c r="BC66">
        <v>0</v>
      </c>
      <c r="BD66">
        <v>0</v>
      </c>
      <c r="BE66" s="79">
        <v>0</v>
      </c>
      <c r="BF66" s="79">
        <v>0</v>
      </c>
      <c r="BG66" s="79">
        <v>-3.16</v>
      </c>
      <c r="BH66" s="79">
        <v>-3.16</v>
      </c>
      <c r="BI66" s="79">
        <v>-3.16</v>
      </c>
      <c r="BJ66" s="79">
        <v>-3.16</v>
      </c>
      <c r="BK66" s="79">
        <v>-3.16</v>
      </c>
      <c r="BL66" s="79">
        <v>-3.16</v>
      </c>
      <c r="BM66" s="79">
        <v>-3.16</v>
      </c>
      <c r="BN66" s="79">
        <v>-3.16</v>
      </c>
      <c r="BO66" s="79">
        <v>-3.16</v>
      </c>
      <c r="BP66" s="79">
        <v>-3.16</v>
      </c>
      <c r="BQ66" s="79">
        <v>-3.16</v>
      </c>
      <c r="BR66" s="79">
        <v>0</v>
      </c>
      <c r="BS66" s="79">
        <v>-3.16</v>
      </c>
      <c r="BT66" s="79">
        <v>0</v>
      </c>
      <c r="BU66" s="79">
        <v>0</v>
      </c>
      <c r="BV66" s="79">
        <v>0</v>
      </c>
      <c r="BW66" s="79">
        <v>0</v>
      </c>
      <c r="BX66" s="79">
        <v>0</v>
      </c>
      <c r="BY66" s="79">
        <v>0</v>
      </c>
      <c r="BZ66" s="79">
        <v>0</v>
      </c>
      <c r="CA66" s="79">
        <v>0</v>
      </c>
      <c r="CB66" s="79">
        <v>0</v>
      </c>
      <c r="CC66" s="79">
        <v>0</v>
      </c>
    </row>
    <row r="67" spans="2:81" x14ac:dyDescent="0.25">
      <c r="B67" s="84" t="s">
        <v>101</v>
      </c>
      <c r="C67" s="79">
        <v>-109374.22</v>
      </c>
      <c r="D67" s="79">
        <v>0</v>
      </c>
      <c r="E67" s="79">
        <v>-8540.18</v>
      </c>
      <c r="F67" s="79">
        <v>-16923.38</v>
      </c>
      <c r="G67" s="79">
        <v>-25893.43</v>
      </c>
      <c r="H67" s="79">
        <v>-36482</v>
      </c>
      <c r="I67" s="79">
        <v>-45970.02</v>
      </c>
      <c r="J67" s="79">
        <v>-59502.91</v>
      </c>
      <c r="K67" s="79">
        <v>-66067.89</v>
      </c>
      <c r="L67" s="79">
        <v>-76021.789999999994</v>
      </c>
      <c r="M67" s="79">
        <v>-87782.05</v>
      </c>
      <c r="N67" s="79">
        <v>-98143</v>
      </c>
      <c r="O67" s="79">
        <v>-109374.22</v>
      </c>
      <c r="P67" s="79">
        <v>-115724.77</v>
      </c>
      <c r="Q67" s="79">
        <v>-13292.28</v>
      </c>
      <c r="R67" s="79">
        <v>105094.82</v>
      </c>
      <c r="S67" s="79">
        <v>-8540.18</v>
      </c>
      <c r="T67" s="79">
        <v>-8383.2000000000007</v>
      </c>
      <c r="U67" s="79">
        <v>-8970.0499999999993</v>
      </c>
      <c r="V67" s="79">
        <v>-10588.57</v>
      </c>
      <c r="W67" s="79">
        <v>-9488.02</v>
      </c>
      <c r="X67" s="79">
        <v>-13532.89</v>
      </c>
      <c r="Y67" s="79">
        <v>-6564.98</v>
      </c>
      <c r="Z67" s="79">
        <v>-9953.9</v>
      </c>
      <c r="AA67" s="79">
        <v>-11760.26</v>
      </c>
      <c r="AB67" s="79">
        <v>-10360.950000000001</v>
      </c>
      <c r="AC67" s="79">
        <v>-11231.22</v>
      </c>
      <c r="AD67" s="79">
        <v>-6350.55</v>
      </c>
      <c r="AE67">
        <v>-9347.17</v>
      </c>
      <c r="AF67">
        <v>-18015.900000000001</v>
      </c>
      <c r="AG67">
        <v>-28064.87</v>
      </c>
      <c r="AH67">
        <v>-36641.370000000003</v>
      </c>
      <c r="AI67">
        <v>-45157.19</v>
      </c>
      <c r="AJ67">
        <v>-56099.95</v>
      </c>
      <c r="AK67">
        <v>-65405.32</v>
      </c>
      <c r="AL67">
        <v>-73984.820000000007</v>
      </c>
      <c r="AM67">
        <v>-84758.080000000002</v>
      </c>
      <c r="AN67">
        <v>-93432.1</v>
      </c>
      <c r="AO67">
        <v>-106124.34</v>
      </c>
      <c r="AP67">
        <v>-115083.07</v>
      </c>
      <c r="AQ67">
        <v>-9347.17</v>
      </c>
      <c r="AR67">
        <v>-8668.73</v>
      </c>
      <c r="AS67">
        <v>-10048.969999999999</v>
      </c>
      <c r="AT67">
        <v>-8576.5</v>
      </c>
      <c r="AU67">
        <v>-8515.82</v>
      </c>
      <c r="AV67">
        <v>-10942.76</v>
      </c>
      <c r="AW67">
        <v>-9305.3700000000008</v>
      </c>
      <c r="AX67">
        <v>-8579.5</v>
      </c>
      <c r="AY67">
        <v>-10773.26</v>
      </c>
      <c r="AZ67">
        <v>-8674.02</v>
      </c>
      <c r="BA67">
        <v>-12692.24</v>
      </c>
      <c r="BB67">
        <v>-8958.73</v>
      </c>
      <c r="BC67">
        <v>-1.4551915228366852E-11</v>
      </c>
      <c r="BD67">
        <v>0</v>
      </c>
      <c r="BE67" s="79">
        <v>0</v>
      </c>
      <c r="BF67" s="79">
        <v>-8602.24</v>
      </c>
      <c r="BG67" s="79">
        <v>-12807.96</v>
      </c>
      <c r="BH67" s="79">
        <v>-12807.96</v>
      </c>
      <c r="BI67" s="79">
        <v>-12807.96</v>
      </c>
      <c r="BJ67" s="79">
        <v>-12807.96</v>
      </c>
      <c r="BK67" s="79">
        <v>-12807.96</v>
      </c>
      <c r="BL67" s="79">
        <v>-12807.96</v>
      </c>
      <c r="BM67" s="79">
        <v>-12807.96</v>
      </c>
      <c r="BN67" s="79">
        <v>-12807.96</v>
      </c>
      <c r="BO67" s="79">
        <v>-12807.96</v>
      </c>
      <c r="BP67" s="79">
        <v>-12807.96</v>
      </c>
      <c r="BQ67" s="79">
        <v>-12807.96</v>
      </c>
      <c r="BR67" s="79">
        <v>-8602.24</v>
      </c>
      <c r="BS67" s="79">
        <v>-4205.72</v>
      </c>
      <c r="BT67" s="79">
        <v>0</v>
      </c>
      <c r="BU67" s="79">
        <v>0</v>
      </c>
      <c r="BV67" s="79">
        <v>0</v>
      </c>
      <c r="BW67" s="79">
        <v>0</v>
      </c>
      <c r="BX67" s="79">
        <v>0</v>
      </c>
      <c r="BY67" s="79">
        <v>0</v>
      </c>
      <c r="BZ67" s="79">
        <v>0</v>
      </c>
      <c r="CA67" s="79">
        <v>0</v>
      </c>
      <c r="CB67" s="79">
        <v>0</v>
      </c>
      <c r="CC67" s="79">
        <v>0</v>
      </c>
    </row>
    <row r="68" spans="2:81" x14ac:dyDescent="0.25">
      <c r="B68" s="84" t="s">
        <v>287</v>
      </c>
      <c r="C68" s="79">
        <v>0</v>
      </c>
      <c r="D68" s="79">
        <v>0</v>
      </c>
      <c r="E68" s="79">
        <v>0</v>
      </c>
      <c r="F68" s="79">
        <v>0</v>
      </c>
      <c r="G68" s="79">
        <v>0</v>
      </c>
      <c r="H68" s="79">
        <v>0</v>
      </c>
      <c r="I68" s="79">
        <v>0</v>
      </c>
      <c r="J68" s="79">
        <v>0</v>
      </c>
      <c r="K68" s="79">
        <v>0</v>
      </c>
      <c r="L68" s="79">
        <v>0</v>
      </c>
      <c r="M68" s="79">
        <v>0</v>
      </c>
      <c r="N68" s="79">
        <v>0</v>
      </c>
      <c r="O68" s="79">
        <v>0</v>
      </c>
      <c r="P68" s="79">
        <v>0</v>
      </c>
      <c r="Q68" s="79">
        <v>0</v>
      </c>
      <c r="R68" s="79">
        <v>0</v>
      </c>
      <c r="S68" s="79">
        <v>0</v>
      </c>
      <c r="T68" s="79">
        <v>0</v>
      </c>
      <c r="U68" s="79">
        <v>0</v>
      </c>
      <c r="V68" s="79">
        <v>0</v>
      </c>
      <c r="W68" s="79">
        <v>0</v>
      </c>
      <c r="X68" s="79">
        <v>0</v>
      </c>
      <c r="Y68" s="79">
        <v>0</v>
      </c>
      <c r="Z68" s="79">
        <v>0</v>
      </c>
      <c r="AA68" s="79">
        <v>0</v>
      </c>
      <c r="AB68" s="79">
        <v>0</v>
      </c>
      <c r="AC68" s="79">
        <v>0</v>
      </c>
      <c r="AD68" s="79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 s="79">
        <v>0</v>
      </c>
      <c r="BF68" s="79">
        <v>0</v>
      </c>
      <c r="BG68" s="79">
        <v>0</v>
      </c>
      <c r="BH68" s="79">
        <v>0</v>
      </c>
      <c r="BI68" s="79">
        <v>0</v>
      </c>
      <c r="BJ68" s="79">
        <v>0</v>
      </c>
      <c r="BK68" s="79">
        <v>0</v>
      </c>
      <c r="BL68" s="79">
        <v>0</v>
      </c>
      <c r="BM68" s="79">
        <v>0</v>
      </c>
      <c r="BN68" s="79">
        <v>0</v>
      </c>
      <c r="BO68" s="79">
        <v>0</v>
      </c>
      <c r="BP68" s="79">
        <v>0</v>
      </c>
      <c r="BQ68" s="79">
        <v>0</v>
      </c>
      <c r="BR68" s="79">
        <v>0</v>
      </c>
      <c r="BS68" s="79">
        <v>0</v>
      </c>
      <c r="BT68" s="79">
        <v>0</v>
      </c>
      <c r="BU68" s="79">
        <v>0</v>
      </c>
      <c r="BV68" s="79">
        <v>0</v>
      </c>
      <c r="BW68" s="79">
        <v>0</v>
      </c>
      <c r="BX68" s="79">
        <v>0</v>
      </c>
      <c r="BY68" s="79">
        <v>0</v>
      </c>
      <c r="BZ68" s="79">
        <v>0</v>
      </c>
      <c r="CA68" s="79">
        <v>0</v>
      </c>
      <c r="CB68" s="79">
        <v>0</v>
      </c>
      <c r="CC68" s="79">
        <v>0</v>
      </c>
    </row>
    <row r="69" spans="2:81" x14ac:dyDescent="0.25">
      <c r="B69" s="84" t="s">
        <v>288</v>
      </c>
      <c r="C69" s="79">
        <v>0</v>
      </c>
      <c r="D69" s="79">
        <v>0</v>
      </c>
      <c r="E69" s="79">
        <v>0</v>
      </c>
      <c r="F69" s="79">
        <v>0</v>
      </c>
      <c r="G69" s="79">
        <v>0</v>
      </c>
      <c r="H69" s="79">
        <v>0</v>
      </c>
      <c r="I69" s="79">
        <v>0</v>
      </c>
      <c r="J69" s="79">
        <v>0</v>
      </c>
      <c r="K69" s="79">
        <v>0</v>
      </c>
      <c r="L69" s="79">
        <v>0</v>
      </c>
      <c r="M69" s="79">
        <v>0</v>
      </c>
      <c r="N69" s="79">
        <v>0</v>
      </c>
      <c r="O69" s="79">
        <v>0</v>
      </c>
      <c r="P69" s="79">
        <v>0</v>
      </c>
      <c r="Q69" s="79">
        <v>0</v>
      </c>
      <c r="R69" s="79">
        <v>0</v>
      </c>
      <c r="S69" s="79">
        <v>0</v>
      </c>
      <c r="T69" s="79">
        <v>0</v>
      </c>
      <c r="U69" s="79">
        <v>0</v>
      </c>
      <c r="V69" s="79">
        <v>0</v>
      </c>
      <c r="W69" s="79">
        <v>0</v>
      </c>
      <c r="X69" s="79">
        <v>0</v>
      </c>
      <c r="Y69" s="79">
        <v>0</v>
      </c>
      <c r="Z69" s="79">
        <v>0</v>
      </c>
      <c r="AA69" s="79">
        <v>0</v>
      </c>
      <c r="AB69" s="79">
        <v>0</v>
      </c>
      <c r="AC69" s="79">
        <v>0</v>
      </c>
      <c r="AD69" s="7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 s="79">
        <v>0</v>
      </c>
      <c r="BF69" s="79">
        <v>0</v>
      </c>
      <c r="BG69" s="79">
        <v>0</v>
      </c>
      <c r="BH69" s="79">
        <v>0</v>
      </c>
      <c r="BI69" s="79">
        <v>0</v>
      </c>
      <c r="BJ69" s="79">
        <v>0</v>
      </c>
      <c r="BK69" s="79">
        <v>0</v>
      </c>
      <c r="BL69" s="79">
        <v>0</v>
      </c>
      <c r="BM69" s="79">
        <v>0</v>
      </c>
      <c r="BN69" s="79">
        <v>0</v>
      </c>
      <c r="BO69" s="79">
        <v>0</v>
      </c>
      <c r="BP69" s="79">
        <v>0</v>
      </c>
      <c r="BQ69" s="79">
        <v>0</v>
      </c>
      <c r="BR69" s="79">
        <v>0</v>
      </c>
      <c r="BS69" s="79">
        <v>0</v>
      </c>
      <c r="BT69" s="79">
        <v>0</v>
      </c>
      <c r="BU69" s="79">
        <v>0</v>
      </c>
      <c r="BV69" s="79">
        <v>0</v>
      </c>
      <c r="BW69" s="79">
        <v>0</v>
      </c>
      <c r="BX69" s="79">
        <v>0</v>
      </c>
      <c r="BY69" s="79">
        <v>0</v>
      </c>
      <c r="BZ69" s="79">
        <v>0</v>
      </c>
      <c r="CA69" s="79">
        <v>0</v>
      </c>
      <c r="CB69" s="79">
        <v>0</v>
      </c>
      <c r="CC69" s="79">
        <v>0</v>
      </c>
    </row>
    <row r="70" spans="2:81" x14ac:dyDescent="0.25">
      <c r="B70" s="84" t="s">
        <v>234</v>
      </c>
      <c r="C70" s="79">
        <v>-8250</v>
      </c>
      <c r="D70" s="79">
        <v>0</v>
      </c>
      <c r="E70" s="79">
        <v>-750</v>
      </c>
      <c r="F70" s="79">
        <v>-1500</v>
      </c>
      <c r="G70" s="79">
        <v>-2250</v>
      </c>
      <c r="H70" s="79">
        <v>-3000</v>
      </c>
      <c r="I70" s="79">
        <v>-3750</v>
      </c>
      <c r="J70" s="79">
        <v>-4500</v>
      </c>
      <c r="K70" s="79">
        <v>-5250</v>
      </c>
      <c r="L70" s="79">
        <v>-6000</v>
      </c>
      <c r="M70" s="79">
        <v>-6750</v>
      </c>
      <c r="N70" s="79">
        <v>-7500</v>
      </c>
      <c r="O70" s="79">
        <v>-8250</v>
      </c>
      <c r="P70" s="79">
        <v>-4499.7700000000004</v>
      </c>
      <c r="Q70" s="79">
        <v>-750</v>
      </c>
      <c r="R70" s="79">
        <v>8250</v>
      </c>
      <c r="S70" s="79">
        <v>-750</v>
      </c>
      <c r="T70" s="79">
        <v>-750</v>
      </c>
      <c r="U70" s="79">
        <v>-750</v>
      </c>
      <c r="V70" s="79">
        <v>-750</v>
      </c>
      <c r="W70" s="79">
        <v>-750</v>
      </c>
      <c r="X70" s="79">
        <v>-750</v>
      </c>
      <c r="Y70" s="79">
        <v>-750</v>
      </c>
      <c r="Z70" s="79">
        <v>-750</v>
      </c>
      <c r="AA70" s="79">
        <v>-750</v>
      </c>
      <c r="AB70" s="79">
        <v>-750</v>
      </c>
      <c r="AC70" s="79">
        <v>-750</v>
      </c>
      <c r="AD70" s="79">
        <v>3750.23</v>
      </c>
      <c r="AE70">
        <v>-750</v>
      </c>
      <c r="AF70">
        <v>-1500</v>
      </c>
      <c r="AG70">
        <v>-2250</v>
      </c>
      <c r="AH70">
        <v>-3000</v>
      </c>
      <c r="AI70">
        <v>-3750</v>
      </c>
      <c r="AJ70">
        <v>-4500</v>
      </c>
      <c r="AK70">
        <v>-5250</v>
      </c>
      <c r="AL70">
        <v>-6000</v>
      </c>
      <c r="AM70">
        <v>-6750</v>
      </c>
      <c r="AN70">
        <v>-7500</v>
      </c>
      <c r="AO70">
        <v>-8250</v>
      </c>
      <c r="AP70">
        <v>-9000</v>
      </c>
      <c r="AQ70">
        <v>-750</v>
      </c>
      <c r="AR70">
        <v>-750</v>
      </c>
      <c r="AS70">
        <v>-750</v>
      </c>
      <c r="AT70">
        <v>-750</v>
      </c>
      <c r="AU70">
        <v>-750</v>
      </c>
      <c r="AV70">
        <v>-750</v>
      </c>
      <c r="AW70">
        <v>-750</v>
      </c>
      <c r="AX70">
        <v>-750</v>
      </c>
      <c r="AY70">
        <v>-750</v>
      </c>
      <c r="AZ70">
        <v>-750</v>
      </c>
      <c r="BA70">
        <v>-750</v>
      </c>
      <c r="BB70">
        <v>-750</v>
      </c>
      <c r="BC70">
        <v>0</v>
      </c>
      <c r="BD70">
        <v>0</v>
      </c>
      <c r="BE70" s="79">
        <v>0</v>
      </c>
      <c r="BF70" s="79">
        <v>-750</v>
      </c>
      <c r="BG70" s="79">
        <v>-750</v>
      </c>
      <c r="BH70" s="79">
        <v>-750</v>
      </c>
      <c r="BI70" s="79">
        <v>-750</v>
      </c>
      <c r="BJ70" s="79">
        <v>-750</v>
      </c>
      <c r="BK70" s="79">
        <v>-750</v>
      </c>
      <c r="BL70" s="79">
        <v>-750</v>
      </c>
      <c r="BM70" s="79">
        <v>-750</v>
      </c>
      <c r="BN70" s="79">
        <v>-750</v>
      </c>
      <c r="BO70" s="79">
        <v>-750</v>
      </c>
      <c r="BP70" s="79">
        <v>-750</v>
      </c>
      <c r="BQ70" s="79">
        <v>-750</v>
      </c>
      <c r="BR70" s="79">
        <v>-750</v>
      </c>
      <c r="BS70" s="79">
        <v>0</v>
      </c>
      <c r="BT70" s="79">
        <v>0</v>
      </c>
      <c r="BU70" s="79">
        <v>0</v>
      </c>
      <c r="BV70" s="79">
        <v>0</v>
      </c>
      <c r="BW70" s="79">
        <v>0</v>
      </c>
      <c r="BX70" s="79">
        <v>0</v>
      </c>
      <c r="BY70" s="79">
        <v>0</v>
      </c>
      <c r="BZ70" s="79">
        <v>0</v>
      </c>
      <c r="CA70" s="79">
        <v>0</v>
      </c>
      <c r="CB70" s="79">
        <v>0</v>
      </c>
      <c r="CC70" s="79">
        <v>0</v>
      </c>
    </row>
    <row r="71" spans="2:81" x14ac:dyDescent="0.25">
      <c r="B71" s="84" t="s">
        <v>129</v>
      </c>
      <c r="C71" s="79">
        <v>-28655.279999999999</v>
      </c>
      <c r="D71" s="79">
        <v>0</v>
      </c>
      <c r="E71" s="79">
        <v>-2283.17</v>
      </c>
      <c r="F71" s="79">
        <v>-3925.28</v>
      </c>
      <c r="G71" s="79">
        <v>-5691.61</v>
      </c>
      <c r="H71" s="79">
        <v>-7483.51</v>
      </c>
      <c r="I71" s="79">
        <v>-10469.02</v>
      </c>
      <c r="J71" s="79">
        <v>-13547.02</v>
      </c>
      <c r="K71" s="79">
        <v>-15640.02</v>
      </c>
      <c r="L71" s="79">
        <v>-19658.02</v>
      </c>
      <c r="M71" s="79">
        <v>-22731.73</v>
      </c>
      <c r="N71" s="79">
        <v>-25530.400000000001</v>
      </c>
      <c r="O71" s="79">
        <v>-28655.279999999999</v>
      </c>
      <c r="P71" s="79">
        <v>-32468.44</v>
      </c>
      <c r="Q71" s="79">
        <v>-3378.99</v>
      </c>
      <c r="R71" s="79">
        <v>29476.61</v>
      </c>
      <c r="S71" s="79">
        <v>-2283.17</v>
      </c>
      <c r="T71" s="79">
        <v>-1642.11</v>
      </c>
      <c r="U71" s="79">
        <v>-1766.33</v>
      </c>
      <c r="V71" s="79">
        <v>-1791.9</v>
      </c>
      <c r="W71" s="79">
        <v>-2985.51</v>
      </c>
      <c r="X71" s="79">
        <v>-3078</v>
      </c>
      <c r="Y71" s="79">
        <v>-2093</v>
      </c>
      <c r="Z71" s="79">
        <v>-4018</v>
      </c>
      <c r="AA71" s="79">
        <v>-3073.71</v>
      </c>
      <c r="AB71" s="79">
        <v>-2798.67</v>
      </c>
      <c r="AC71" s="79">
        <v>-3124.88</v>
      </c>
      <c r="AD71" s="79">
        <v>-3813.16</v>
      </c>
      <c r="AE71">
        <v>-3131.62</v>
      </c>
      <c r="AF71">
        <v>-5510.52</v>
      </c>
      <c r="AG71">
        <v>-7811.05</v>
      </c>
      <c r="AH71">
        <v>-9960.51</v>
      </c>
      <c r="AI71">
        <v>-12366.99</v>
      </c>
      <c r="AJ71">
        <v>-15708.67</v>
      </c>
      <c r="AK71">
        <v>-19485.169999999998</v>
      </c>
      <c r="AL71">
        <v>-21890.83</v>
      </c>
      <c r="AM71">
        <v>-23384.65</v>
      </c>
      <c r="AN71">
        <v>-27171.65</v>
      </c>
      <c r="AO71">
        <v>-29935.53</v>
      </c>
      <c r="AP71">
        <v>-33148.980000000003</v>
      </c>
      <c r="AQ71">
        <v>-3131.62</v>
      </c>
      <c r="AR71">
        <v>-2378.9</v>
      </c>
      <c r="AS71">
        <v>-2300.5300000000002</v>
      </c>
      <c r="AT71">
        <v>-2149.46</v>
      </c>
      <c r="AU71">
        <v>-2406.48</v>
      </c>
      <c r="AV71">
        <v>-3341.68</v>
      </c>
      <c r="AW71">
        <v>-3776.5</v>
      </c>
      <c r="AX71">
        <v>-2405.66</v>
      </c>
      <c r="AY71">
        <v>-1493.82</v>
      </c>
      <c r="AZ71">
        <v>-3787</v>
      </c>
      <c r="BA71">
        <v>-2763.88</v>
      </c>
      <c r="BB71">
        <v>-3213.45</v>
      </c>
      <c r="BC71">
        <v>0</v>
      </c>
      <c r="BD71">
        <v>0</v>
      </c>
      <c r="BE71" s="79">
        <v>0</v>
      </c>
      <c r="BF71" s="79">
        <v>-1659.92</v>
      </c>
      <c r="BG71" s="79">
        <v>-1659.92</v>
      </c>
      <c r="BH71" s="79">
        <v>-1659.92</v>
      </c>
      <c r="BI71" s="79">
        <v>-1659.92</v>
      </c>
      <c r="BJ71" s="79">
        <v>-1659.92</v>
      </c>
      <c r="BK71" s="79">
        <v>-1659.92</v>
      </c>
      <c r="BL71" s="79">
        <v>-1659.92</v>
      </c>
      <c r="BM71" s="79">
        <v>-1659.92</v>
      </c>
      <c r="BN71" s="79">
        <v>-1659.92</v>
      </c>
      <c r="BO71" s="79">
        <v>-1659.92</v>
      </c>
      <c r="BP71" s="79">
        <v>-1659.92</v>
      </c>
      <c r="BQ71" s="79">
        <v>-1659.92</v>
      </c>
      <c r="BR71" s="79">
        <v>-1659.92</v>
      </c>
      <c r="BS71" s="79">
        <v>0</v>
      </c>
      <c r="BT71" s="79">
        <v>0</v>
      </c>
      <c r="BU71" s="79">
        <v>0</v>
      </c>
      <c r="BV71" s="79">
        <v>0</v>
      </c>
      <c r="BW71" s="79">
        <v>0</v>
      </c>
      <c r="BX71" s="79">
        <v>0</v>
      </c>
      <c r="BY71" s="79">
        <v>0</v>
      </c>
      <c r="BZ71" s="79">
        <v>0</v>
      </c>
      <c r="CA71" s="79">
        <v>0</v>
      </c>
      <c r="CB71" s="79">
        <v>0</v>
      </c>
      <c r="CC71" s="79">
        <v>0</v>
      </c>
    </row>
    <row r="72" spans="2:81" x14ac:dyDescent="0.25">
      <c r="B72" s="84" t="s">
        <v>164</v>
      </c>
      <c r="C72" s="79">
        <v>-255.37</v>
      </c>
      <c r="D72" s="79">
        <v>0</v>
      </c>
      <c r="E72" s="79">
        <v>0</v>
      </c>
      <c r="F72" s="79">
        <v>0</v>
      </c>
      <c r="G72" s="79">
        <v>0</v>
      </c>
      <c r="H72" s="79">
        <v>0</v>
      </c>
      <c r="I72" s="79">
        <v>0</v>
      </c>
      <c r="J72" s="79">
        <v>0</v>
      </c>
      <c r="K72" s="79">
        <v>0</v>
      </c>
      <c r="L72" s="79">
        <v>0</v>
      </c>
      <c r="M72" s="79">
        <v>0</v>
      </c>
      <c r="N72" s="79">
        <v>-255.37</v>
      </c>
      <c r="O72" s="79">
        <v>-255.37</v>
      </c>
      <c r="P72" s="79">
        <v>-255.37</v>
      </c>
      <c r="Q72" s="79">
        <v>0</v>
      </c>
      <c r="R72" s="79">
        <v>714.81</v>
      </c>
      <c r="S72" s="79">
        <v>0</v>
      </c>
      <c r="T72" s="79">
        <v>0</v>
      </c>
      <c r="U72" s="79">
        <v>0</v>
      </c>
      <c r="V72" s="79">
        <v>0</v>
      </c>
      <c r="W72" s="79">
        <v>0</v>
      </c>
      <c r="X72" s="79">
        <v>0</v>
      </c>
      <c r="Y72" s="79">
        <v>0</v>
      </c>
      <c r="Z72" s="79">
        <v>0</v>
      </c>
      <c r="AA72" s="79">
        <v>0</v>
      </c>
      <c r="AB72" s="79">
        <v>-255.37</v>
      </c>
      <c r="AC72" s="79">
        <v>0</v>
      </c>
      <c r="AD72" s="79">
        <v>0</v>
      </c>
      <c r="AE72">
        <v>-194.45</v>
      </c>
      <c r="AF72">
        <v>-194.45</v>
      </c>
      <c r="AG72">
        <v>-194.45</v>
      </c>
      <c r="AH72">
        <v>-340.7</v>
      </c>
      <c r="AI72">
        <v>-859.66</v>
      </c>
      <c r="AJ72">
        <v>-924.66</v>
      </c>
      <c r="AK72">
        <v>-924.66</v>
      </c>
      <c r="AL72">
        <v>-924.66</v>
      </c>
      <c r="AM72">
        <v>-924.66</v>
      </c>
      <c r="AN72">
        <v>-1038.4100000000001</v>
      </c>
      <c r="AO72">
        <v>-1038.4100000000001</v>
      </c>
      <c r="AP72">
        <v>-1038.4100000000001</v>
      </c>
      <c r="AQ72">
        <v>-194.45</v>
      </c>
      <c r="AR72">
        <v>0</v>
      </c>
      <c r="AS72">
        <v>0</v>
      </c>
      <c r="AT72">
        <v>-146.25</v>
      </c>
      <c r="AU72">
        <v>-518.96</v>
      </c>
      <c r="AV72">
        <v>-65</v>
      </c>
      <c r="AW72">
        <v>0</v>
      </c>
      <c r="AX72">
        <v>0</v>
      </c>
      <c r="AY72">
        <v>0</v>
      </c>
      <c r="AZ72">
        <v>-113.75</v>
      </c>
      <c r="BA72">
        <v>0</v>
      </c>
      <c r="BB72">
        <v>0</v>
      </c>
      <c r="BC72">
        <v>0</v>
      </c>
      <c r="BD72">
        <v>0</v>
      </c>
      <c r="BE72" s="79">
        <v>0</v>
      </c>
      <c r="BF72" s="79">
        <v>0</v>
      </c>
      <c r="BG72" s="79">
        <v>0</v>
      </c>
      <c r="BH72" s="79">
        <v>0</v>
      </c>
      <c r="BI72" s="79">
        <v>0</v>
      </c>
      <c r="BJ72" s="79">
        <v>0</v>
      </c>
      <c r="BK72" s="79">
        <v>0</v>
      </c>
      <c r="BL72" s="79">
        <v>0</v>
      </c>
      <c r="BM72" s="79">
        <v>0</v>
      </c>
      <c r="BN72" s="79">
        <v>0</v>
      </c>
      <c r="BO72" s="79">
        <v>0</v>
      </c>
      <c r="BP72" s="79">
        <v>0</v>
      </c>
      <c r="BQ72" s="79">
        <v>0</v>
      </c>
      <c r="BR72" s="79">
        <v>0</v>
      </c>
      <c r="BS72" s="79">
        <v>0</v>
      </c>
      <c r="BT72" s="79">
        <v>0</v>
      </c>
      <c r="BU72" s="79">
        <v>0</v>
      </c>
      <c r="BV72" s="79">
        <v>0</v>
      </c>
      <c r="BW72" s="79">
        <v>0</v>
      </c>
      <c r="BX72" s="79">
        <v>0</v>
      </c>
      <c r="BY72" s="79">
        <v>0</v>
      </c>
      <c r="BZ72" s="79">
        <v>0</v>
      </c>
      <c r="CA72" s="79">
        <v>0</v>
      </c>
      <c r="CB72" s="79">
        <v>0</v>
      </c>
      <c r="CC72" s="79">
        <v>0</v>
      </c>
    </row>
    <row r="73" spans="2:81" x14ac:dyDescent="0.25">
      <c r="B73" s="84" t="s">
        <v>100</v>
      </c>
      <c r="C73" s="79">
        <v>-9716</v>
      </c>
      <c r="D73" s="79">
        <v>0</v>
      </c>
      <c r="E73" s="79">
        <v>-1356.94</v>
      </c>
      <c r="F73" s="79">
        <v>-2279.31</v>
      </c>
      <c r="G73" s="79">
        <v>-2531.33</v>
      </c>
      <c r="H73" s="79">
        <v>-3420.21</v>
      </c>
      <c r="I73" s="79">
        <v>-3904.78</v>
      </c>
      <c r="J73" s="79">
        <v>-5319.62</v>
      </c>
      <c r="K73" s="79">
        <v>-6038.75</v>
      </c>
      <c r="L73" s="79">
        <v>-6332.98</v>
      </c>
      <c r="M73" s="79">
        <v>-8143.65</v>
      </c>
      <c r="N73" s="79">
        <v>-8634.23</v>
      </c>
      <c r="O73" s="79">
        <v>-9716</v>
      </c>
      <c r="P73" s="79">
        <v>-10403.16</v>
      </c>
      <c r="Q73" s="79">
        <v>-984.21</v>
      </c>
      <c r="R73" s="79">
        <v>7805.72</v>
      </c>
      <c r="S73" s="79">
        <v>-1356.94</v>
      </c>
      <c r="T73" s="79">
        <v>-922.37</v>
      </c>
      <c r="U73" s="79">
        <v>-252.02</v>
      </c>
      <c r="V73" s="79">
        <v>-888.88</v>
      </c>
      <c r="W73" s="79">
        <v>-484.57</v>
      </c>
      <c r="X73" s="79">
        <v>-1414.84</v>
      </c>
      <c r="Y73" s="79">
        <v>-719.13</v>
      </c>
      <c r="Z73" s="79">
        <v>-294.23</v>
      </c>
      <c r="AA73" s="79">
        <v>-1810.67</v>
      </c>
      <c r="AB73" s="79">
        <v>-490.58</v>
      </c>
      <c r="AC73" s="79">
        <v>-1081.77</v>
      </c>
      <c r="AD73" s="79">
        <v>-687.16</v>
      </c>
      <c r="AE73">
        <v>-982.83</v>
      </c>
      <c r="AF73">
        <v>-2037.16</v>
      </c>
      <c r="AG73">
        <v>-2290.38</v>
      </c>
      <c r="AH73">
        <v>-3922.64</v>
      </c>
      <c r="AI73">
        <v>-5031.34</v>
      </c>
      <c r="AJ73">
        <v>-5560.81</v>
      </c>
      <c r="AK73">
        <v>-6619.8</v>
      </c>
      <c r="AL73">
        <v>-7402.06</v>
      </c>
      <c r="AM73">
        <v>-8001.78</v>
      </c>
      <c r="AN73">
        <v>-8770.7199999999993</v>
      </c>
      <c r="AO73">
        <v>-10143.92</v>
      </c>
      <c r="AP73">
        <v>-11237.29</v>
      </c>
      <c r="AQ73">
        <v>-982.83</v>
      </c>
      <c r="AR73">
        <v>-1054.33</v>
      </c>
      <c r="AS73">
        <v>-253.22</v>
      </c>
      <c r="AT73">
        <v>-1632.26</v>
      </c>
      <c r="AU73">
        <v>-1108.7</v>
      </c>
      <c r="AV73">
        <v>-529.47</v>
      </c>
      <c r="AW73">
        <v>-1058.99</v>
      </c>
      <c r="AX73">
        <v>-782.26</v>
      </c>
      <c r="AY73">
        <v>-599.72</v>
      </c>
      <c r="AZ73">
        <v>-768.94</v>
      </c>
      <c r="BA73">
        <v>-1373.2</v>
      </c>
      <c r="BB73">
        <v>-1093.3699999999999</v>
      </c>
      <c r="BC73">
        <v>0</v>
      </c>
      <c r="BD73">
        <v>0</v>
      </c>
      <c r="BE73" s="79">
        <v>0</v>
      </c>
      <c r="BF73" s="79">
        <v>-1018.07</v>
      </c>
      <c r="BG73" s="79">
        <v>-1117.67</v>
      </c>
      <c r="BH73" s="79">
        <v>-1117.67</v>
      </c>
      <c r="BI73" s="79">
        <v>-1117.67</v>
      </c>
      <c r="BJ73" s="79">
        <v>-1117.67</v>
      </c>
      <c r="BK73" s="79">
        <v>-1117.67</v>
      </c>
      <c r="BL73" s="79">
        <v>-1117.67</v>
      </c>
      <c r="BM73" s="79">
        <v>-1117.67</v>
      </c>
      <c r="BN73" s="79">
        <v>-1117.67</v>
      </c>
      <c r="BO73" s="79">
        <v>-1117.67</v>
      </c>
      <c r="BP73" s="79">
        <v>-1117.67</v>
      </c>
      <c r="BQ73" s="79">
        <v>-1117.67</v>
      </c>
      <c r="BR73" s="79">
        <v>-1018.07</v>
      </c>
      <c r="BS73" s="79">
        <v>-99.6</v>
      </c>
      <c r="BT73" s="79">
        <v>0</v>
      </c>
      <c r="BU73" s="79">
        <v>0</v>
      </c>
      <c r="BV73" s="79">
        <v>0</v>
      </c>
      <c r="BW73" s="79">
        <v>0</v>
      </c>
      <c r="BX73" s="79">
        <v>0</v>
      </c>
      <c r="BY73" s="79">
        <v>0</v>
      </c>
      <c r="BZ73" s="79">
        <v>0</v>
      </c>
      <c r="CA73" s="79">
        <v>0</v>
      </c>
      <c r="CB73" s="79">
        <v>0</v>
      </c>
      <c r="CC73" s="79">
        <v>0</v>
      </c>
    </row>
    <row r="74" spans="2:81" s="79" customFormat="1" x14ac:dyDescent="0.25">
      <c r="B74" s="84" t="s">
        <v>128</v>
      </c>
      <c r="C74" s="79">
        <v>-385</v>
      </c>
      <c r="D74" s="79">
        <v>0</v>
      </c>
      <c r="E74" s="79">
        <v>-35</v>
      </c>
      <c r="F74" s="79">
        <v>-70</v>
      </c>
      <c r="G74" s="79">
        <v>-105</v>
      </c>
      <c r="H74" s="79">
        <v>-140</v>
      </c>
      <c r="I74" s="79">
        <v>-175</v>
      </c>
      <c r="J74" s="79">
        <v>-210</v>
      </c>
      <c r="K74" s="79">
        <v>-245</v>
      </c>
      <c r="L74" s="79">
        <v>-280</v>
      </c>
      <c r="M74" s="79">
        <v>-315</v>
      </c>
      <c r="N74" s="79">
        <v>-350</v>
      </c>
      <c r="O74" s="79">
        <v>-385</v>
      </c>
      <c r="P74" s="79">
        <v>0</v>
      </c>
      <c r="Q74" s="79">
        <v>-150</v>
      </c>
      <c r="R74" s="79">
        <v>1650</v>
      </c>
      <c r="S74" s="79">
        <v>-35</v>
      </c>
      <c r="T74" s="79">
        <v>-35</v>
      </c>
      <c r="U74" s="79">
        <v>-35</v>
      </c>
      <c r="V74" s="79">
        <v>-35</v>
      </c>
      <c r="W74" s="79">
        <v>-35</v>
      </c>
      <c r="X74" s="79">
        <v>-35</v>
      </c>
      <c r="Y74" s="79">
        <v>-35</v>
      </c>
      <c r="Z74" s="79">
        <v>-35</v>
      </c>
      <c r="AA74" s="79">
        <v>-35</v>
      </c>
      <c r="AB74" s="79">
        <v>-35</v>
      </c>
      <c r="AC74" s="79">
        <v>-35</v>
      </c>
      <c r="AD74" s="79">
        <v>385</v>
      </c>
      <c r="AE74" s="79">
        <v>-35</v>
      </c>
      <c r="AF74" s="79">
        <v>-70</v>
      </c>
      <c r="AG74" s="79">
        <v>-105</v>
      </c>
      <c r="AH74" s="79">
        <v>-105</v>
      </c>
      <c r="AI74" s="79">
        <v>-105</v>
      </c>
      <c r="AJ74" s="79">
        <v>-105</v>
      </c>
      <c r="AK74" s="79">
        <v>-105</v>
      </c>
      <c r="AL74" s="79">
        <v>-105</v>
      </c>
      <c r="AM74" s="79">
        <v>-105</v>
      </c>
      <c r="AN74" s="79">
        <v>-105</v>
      </c>
      <c r="AO74" s="79">
        <v>-105</v>
      </c>
      <c r="AP74" s="79">
        <v>-105</v>
      </c>
      <c r="AQ74" s="79">
        <v>-35</v>
      </c>
      <c r="AR74" s="79">
        <v>-35</v>
      </c>
      <c r="AS74" s="79">
        <v>-35</v>
      </c>
      <c r="AT74" s="79">
        <v>0</v>
      </c>
      <c r="AU74" s="79">
        <v>0</v>
      </c>
      <c r="AV74" s="79">
        <v>0</v>
      </c>
      <c r="AW74" s="79">
        <v>0</v>
      </c>
      <c r="AX74" s="79">
        <v>0</v>
      </c>
      <c r="AY74" s="79">
        <v>0</v>
      </c>
      <c r="AZ74" s="79">
        <v>0</v>
      </c>
      <c r="BA74" s="79">
        <v>0</v>
      </c>
      <c r="BB74" s="79">
        <v>0</v>
      </c>
      <c r="BC74" s="79">
        <v>0</v>
      </c>
      <c r="BD74" s="79">
        <v>0</v>
      </c>
      <c r="BE74" s="79">
        <v>0</v>
      </c>
      <c r="BF74" s="79">
        <v>0</v>
      </c>
      <c r="BG74" s="79">
        <v>0</v>
      </c>
      <c r="BH74" s="79">
        <v>0</v>
      </c>
      <c r="BI74" s="79">
        <v>0</v>
      </c>
      <c r="BJ74" s="79">
        <v>0</v>
      </c>
      <c r="BK74" s="79">
        <v>0</v>
      </c>
      <c r="BL74" s="79">
        <v>0</v>
      </c>
      <c r="BM74" s="79">
        <v>0</v>
      </c>
      <c r="BN74" s="79">
        <v>0</v>
      </c>
      <c r="BO74" s="79">
        <v>0</v>
      </c>
      <c r="BP74" s="79">
        <v>0</v>
      </c>
      <c r="BQ74" s="79">
        <v>0</v>
      </c>
      <c r="BR74" s="79">
        <v>0</v>
      </c>
      <c r="BS74" s="79">
        <v>0</v>
      </c>
      <c r="BT74" s="79">
        <v>0</v>
      </c>
      <c r="BU74" s="79">
        <v>0</v>
      </c>
      <c r="BV74" s="79">
        <v>0</v>
      </c>
      <c r="BW74" s="79">
        <v>0</v>
      </c>
      <c r="BX74" s="79">
        <v>0</v>
      </c>
      <c r="BY74" s="79">
        <v>0</v>
      </c>
      <c r="BZ74" s="79">
        <v>0</v>
      </c>
      <c r="CA74" s="79">
        <v>0</v>
      </c>
      <c r="CB74" s="79">
        <v>0</v>
      </c>
      <c r="CC74" s="79">
        <v>0</v>
      </c>
    </row>
    <row r="75" spans="2:81" x14ac:dyDescent="0.25">
      <c r="B75" s="84" t="s">
        <v>127</v>
      </c>
      <c r="C75" s="79">
        <v>-10120</v>
      </c>
      <c r="D75" s="79">
        <v>0</v>
      </c>
      <c r="E75" s="79">
        <v>-920</v>
      </c>
      <c r="F75" s="79">
        <v>-1840</v>
      </c>
      <c r="G75" s="79">
        <v>-2760</v>
      </c>
      <c r="H75" s="79">
        <v>-3680</v>
      </c>
      <c r="I75" s="79">
        <v>-4600</v>
      </c>
      <c r="J75" s="79">
        <v>-5520</v>
      </c>
      <c r="K75" s="79">
        <v>-6440</v>
      </c>
      <c r="L75" s="79">
        <v>-7360</v>
      </c>
      <c r="M75" s="79">
        <v>-8280</v>
      </c>
      <c r="N75" s="79">
        <v>-9200</v>
      </c>
      <c r="O75" s="79">
        <v>-10120</v>
      </c>
      <c r="P75" s="79">
        <v>-8412.06</v>
      </c>
      <c r="Q75" s="79">
        <v>-950</v>
      </c>
      <c r="R75" s="79">
        <v>10450</v>
      </c>
      <c r="S75" s="79">
        <v>-920</v>
      </c>
      <c r="T75" s="79">
        <v>-920</v>
      </c>
      <c r="U75" s="79">
        <v>-920</v>
      </c>
      <c r="V75" s="79">
        <v>-920</v>
      </c>
      <c r="W75" s="79">
        <v>-920</v>
      </c>
      <c r="X75" s="79">
        <v>-920</v>
      </c>
      <c r="Y75" s="79">
        <v>-920</v>
      </c>
      <c r="Z75" s="79">
        <v>-920</v>
      </c>
      <c r="AA75" s="79">
        <v>-920</v>
      </c>
      <c r="AB75" s="79">
        <v>-920</v>
      </c>
      <c r="AC75" s="79">
        <v>-920</v>
      </c>
      <c r="AD75" s="79">
        <v>1707.94</v>
      </c>
      <c r="AE75">
        <v>-920</v>
      </c>
      <c r="AF75">
        <v>-1840</v>
      </c>
      <c r="AG75">
        <v>-2760</v>
      </c>
      <c r="AH75">
        <v>-3680</v>
      </c>
      <c r="AI75">
        <v>-4600</v>
      </c>
      <c r="AJ75">
        <v>-5520</v>
      </c>
      <c r="AK75">
        <v>-6440</v>
      </c>
      <c r="AL75">
        <v>-7360</v>
      </c>
      <c r="AM75">
        <v>-8280</v>
      </c>
      <c r="AN75">
        <v>-9200</v>
      </c>
      <c r="AO75">
        <v>-10120</v>
      </c>
      <c r="AP75">
        <v>-11040</v>
      </c>
      <c r="AQ75">
        <v>-920</v>
      </c>
      <c r="AR75">
        <v>-920</v>
      </c>
      <c r="AS75">
        <v>-920</v>
      </c>
      <c r="AT75">
        <v>-920</v>
      </c>
      <c r="AU75">
        <v>-920</v>
      </c>
      <c r="AV75">
        <v>-920</v>
      </c>
      <c r="AW75">
        <v>-920</v>
      </c>
      <c r="AX75">
        <v>-920</v>
      </c>
      <c r="AY75">
        <v>-920</v>
      </c>
      <c r="AZ75">
        <v>-920</v>
      </c>
      <c r="BA75">
        <v>-920</v>
      </c>
      <c r="BB75">
        <v>-920</v>
      </c>
      <c r="BC75">
        <v>0</v>
      </c>
      <c r="BD75">
        <v>0</v>
      </c>
      <c r="BE75" s="79">
        <v>0</v>
      </c>
      <c r="BF75" s="79">
        <v>-920</v>
      </c>
      <c r="BG75" s="79">
        <v>-920</v>
      </c>
      <c r="BH75" s="79">
        <v>-920</v>
      </c>
      <c r="BI75" s="79">
        <v>-920</v>
      </c>
      <c r="BJ75" s="79">
        <v>-920</v>
      </c>
      <c r="BK75" s="79">
        <v>-920</v>
      </c>
      <c r="BL75" s="79">
        <v>-920</v>
      </c>
      <c r="BM75" s="79">
        <v>-920</v>
      </c>
      <c r="BN75" s="79">
        <v>-920</v>
      </c>
      <c r="BO75" s="79">
        <v>-920</v>
      </c>
      <c r="BP75" s="79">
        <v>-920</v>
      </c>
      <c r="BQ75" s="79">
        <v>-920</v>
      </c>
      <c r="BR75" s="79">
        <v>-920</v>
      </c>
      <c r="BS75" s="79">
        <v>0</v>
      </c>
      <c r="BT75" s="79">
        <v>0</v>
      </c>
      <c r="BU75" s="79">
        <v>0</v>
      </c>
      <c r="BV75" s="79">
        <v>0</v>
      </c>
      <c r="BW75" s="79">
        <v>0</v>
      </c>
      <c r="BX75" s="79">
        <v>0</v>
      </c>
      <c r="BY75" s="79">
        <v>0</v>
      </c>
      <c r="BZ75" s="79">
        <v>0</v>
      </c>
      <c r="CA75" s="79">
        <v>0</v>
      </c>
      <c r="CB75" s="79">
        <v>0</v>
      </c>
      <c r="CC75" s="79">
        <v>0</v>
      </c>
    </row>
    <row r="76" spans="2:81" x14ac:dyDescent="0.25">
      <c r="B76" s="84" t="s">
        <v>126</v>
      </c>
      <c r="C76" s="79">
        <v>-82500</v>
      </c>
      <c r="D76" s="79">
        <v>0</v>
      </c>
      <c r="E76" s="79">
        <v>-7500</v>
      </c>
      <c r="F76" s="79">
        <v>-15000</v>
      </c>
      <c r="G76" s="79">
        <v>-22500</v>
      </c>
      <c r="H76" s="79">
        <v>-30000</v>
      </c>
      <c r="I76" s="79">
        <v>-37500</v>
      </c>
      <c r="J76" s="79">
        <v>-45000</v>
      </c>
      <c r="K76" s="79">
        <v>-52500</v>
      </c>
      <c r="L76" s="79">
        <v>-60000</v>
      </c>
      <c r="M76" s="79">
        <v>-67500</v>
      </c>
      <c r="N76" s="79">
        <v>-75000</v>
      </c>
      <c r="O76" s="79">
        <v>-82500</v>
      </c>
      <c r="P76" s="79">
        <v>-84004.79</v>
      </c>
      <c r="Q76" s="79">
        <v>-7025</v>
      </c>
      <c r="R76" s="79">
        <v>77275</v>
      </c>
      <c r="S76" s="79">
        <v>-7500</v>
      </c>
      <c r="T76" s="79">
        <v>-7500</v>
      </c>
      <c r="U76" s="79">
        <v>-7500</v>
      </c>
      <c r="V76" s="79">
        <v>-7500</v>
      </c>
      <c r="W76" s="79">
        <v>-7500</v>
      </c>
      <c r="X76" s="79">
        <v>-7500</v>
      </c>
      <c r="Y76" s="79">
        <v>-7500</v>
      </c>
      <c r="Z76" s="79">
        <v>-7500</v>
      </c>
      <c r="AA76" s="79">
        <v>-7500</v>
      </c>
      <c r="AB76" s="79">
        <v>-7500</v>
      </c>
      <c r="AC76" s="79">
        <v>-7500</v>
      </c>
      <c r="AD76" s="79">
        <v>-1504.79</v>
      </c>
      <c r="AE76">
        <v>-7500</v>
      </c>
      <c r="AF76">
        <v>-16011.15</v>
      </c>
      <c r="AG76">
        <v>-23511.15</v>
      </c>
      <c r="AH76">
        <v>-31011.15</v>
      </c>
      <c r="AI76">
        <v>-38511.15</v>
      </c>
      <c r="AJ76">
        <v>-46011.15</v>
      </c>
      <c r="AK76">
        <v>-53511.15</v>
      </c>
      <c r="AL76">
        <v>-61011.15</v>
      </c>
      <c r="AM76">
        <v>-68511.149999999994</v>
      </c>
      <c r="AN76">
        <v>-76011.149999999994</v>
      </c>
      <c r="AO76">
        <v>-83511.149999999994</v>
      </c>
      <c r="AP76">
        <v>-91011.15</v>
      </c>
      <c r="AQ76">
        <v>-7500</v>
      </c>
      <c r="AR76">
        <v>-8511.15</v>
      </c>
      <c r="AS76">
        <v>-7500</v>
      </c>
      <c r="AT76">
        <v>-7500</v>
      </c>
      <c r="AU76">
        <v>-7500</v>
      </c>
      <c r="AV76">
        <v>-7500</v>
      </c>
      <c r="AW76">
        <v>-7500</v>
      </c>
      <c r="AX76">
        <v>-7500</v>
      </c>
      <c r="AY76">
        <v>-7500</v>
      </c>
      <c r="AZ76">
        <v>-7500</v>
      </c>
      <c r="BA76">
        <v>-7500</v>
      </c>
      <c r="BB76">
        <v>-7500</v>
      </c>
      <c r="BC76">
        <v>0</v>
      </c>
      <c r="BD76">
        <v>0</v>
      </c>
      <c r="BE76" s="79">
        <v>0</v>
      </c>
      <c r="BF76" s="79">
        <v>-7500</v>
      </c>
      <c r="BG76" s="79">
        <v>-7500</v>
      </c>
      <c r="BH76" s="79">
        <v>-7500</v>
      </c>
      <c r="BI76" s="79">
        <v>-7500</v>
      </c>
      <c r="BJ76" s="79">
        <v>-7500</v>
      </c>
      <c r="BK76" s="79">
        <v>-7500</v>
      </c>
      <c r="BL76" s="79">
        <v>-7500</v>
      </c>
      <c r="BM76" s="79">
        <v>-7500</v>
      </c>
      <c r="BN76" s="79">
        <v>-7500</v>
      </c>
      <c r="BO76" s="79">
        <v>-7500</v>
      </c>
      <c r="BP76" s="79">
        <v>-7500</v>
      </c>
      <c r="BQ76" s="79">
        <v>-7500</v>
      </c>
      <c r="BR76" s="79">
        <v>-7500</v>
      </c>
      <c r="BS76" s="79">
        <v>0</v>
      </c>
      <c r="BT76" s="79">
        <v>0</v>
      </c>
      <c r="BU76" s="79">
        <v>0</v>
      </c>
      <c r="BV76" s="79">
        <v>0</v>
      </c>
      <c r="BW76" s="79">
        <v>0</v>
      </c>
      <c r="BX76" s="79">
        <v>0</v>
      </c>
      <c r="BY76" s="79">
        <v>0</v>
      </c>
      <c r="BZ76" s="79">
        <v>0</v>
      </c>
      <c r="CA76" s="79">
        <v>0</v>
      </c>
      <c r="CB76" s="79">
        <v>0</v>
      </c>
      <c r="CC76" s="79">
        <v>0</v>
      </c>
    </row>
    <row r="77" spans="2:81" x14ac:dyDescent="0.25">
      <c r="B77" s="84" t="s">
        <v>99</v>
      </c>
      <c r="C77" s="79">
        <v>-15386.87</v>
      </c>
      <c r="D77" s="79">
        <v>0</v>
      </c>
      <c r="E77" s="79">
        <v>-1334.04</v>
      </c>
      <c r="F77" s="79">
        <v>-2838.78</v>
      </c>
      <c r="G77" s="79">
        <v>-4169.79</v>
      </c>
      <c r="H77" s="79">
        <v>-5500.8</v>
      </c>
      <c r="I77" s="79">
        <v>-6831.81</v>
      </c>
      <c r="J77" s="79">
        <v>-8162.82</v>
      </c>
      <c r="K77" s="79">
        <v>-9493.83</v>
      </c>
      <c r="L77" s="79">
        <v>-10824.84</v>
      </c>
      <c r="M77" s="79">
        <v>-12155.85</v>
      </c>
      <c r="N77" s="79">
        <v>-13486.86</v>
      </c>
      <c r="O77" s="79">
        <v>-15386.87</v>
      </c>
      <c r="P77" s="79">
        <v>-16717.88</v>
      </c>
      <c r="Q77" s="79">
        <v>-1903.04</v>
      </c>
      <c r="R77" s="79">
        <v>16253</v>
      </c>
      <c r="S77" s="79">
        <v>-1334.04</v>
      </c>
      <c r="T77" s="79">
        <v>-1504.74</v>
      </c>
      <c r="U77" s="79">
        <v>-1331.01</v>
      </c>
      <c r="V77" s="79">
        <v>-1331.01</v>
      </c>
      <c r="W77" s="79">
        <v>-1331.01</v>
      </c>
      <c r="X77" s="79">
        <v>-1331.01</v>
      </c>
      <c r="Y77" s="79">
        <v>-1331.01</v>
      </c>
      <c r="Z77" s="79">
        <v>-1331.01</v>
      </c>
      <c r="AA77" s="79">
        <v>-1331.01</v>
      </c>
      <c r="AB77" s="79">
        <v>-1331.01</v>
      </c>
      <c r="AC77" s="79">
        <v>-1900.01</v>
      </c>
      <c r="AD77" s="79">
        <v>-1331.01</v>
      </c>
      <c r="AE77">
        <v>-1331.01</v>
      </c>
      <c r="AF77">
        <v>-2662.02</v>
      </c>
      <c r="AG77">
        <v>-3993.03</v>
      </c>
      <c r="AH77">
        <v>-5322.24</v>
      </c>
      <c r="AI77">
        <v>-6651.45</v>
      </c>
      <c r="AJ77">
        <v>-7980.66</v>
      </c>
      <c r="AK77">
        <v>-9309.8700000000008</v>
      </c>
      <c r="AL77">
        <v>-10639.08</v>
      </c>
      <c r="AM77">
        <v>-11968.29</v>
      </c>
      <c r="AN77">
        <v>-13297.5</v>
      </c>
      <c r="AO77">
        <v>-16310.95</v>
      </c>
      <c r="AP77">
        <v>-17640.16</v>
      </c>
      <c r="AQ77">
        <v>-1331.01</v>
      </c>
      <c r="AR77">
        <v>-1331.01</v>
      </c>
      <c r="AS77">
        <v>-1331.01</v>
      </c>
      <c r="AT77">
        <v>-1329.21</v>
      </c>
      <c r="AU77">
        <v>-1329.21</v>
      </c>
      <c r="AV77">
        <v>-1329.21</v>
      </c>
      <c r="AW77">
        <v>-1329.21</v>
      </c>
      <c r="AX77">
        <v>-1329.21</v>
      </c>
      <c r="AY77">
        <v>-1329.21</v>
      </c>
      <c r="AZ77">
        <v>-1329.21</v>
      </c>
      <c r="BA77">
        <v>-3013.45</v>
      </c>
      <c r="BB77">
        <v>-1329.21</v>
      </c>
      <c r="BC77">
        <v>0</v>
      </c>
      <c r="BD77">
        <v>0</v>
      </c>
      <c r="BE77" s="79">
        <v>0</v>
      </c>
      <c r="BF77" s="79">
        <v>-1329.21</v>
      </c>
      <c r="BG77" s="79">
        <v>-1329.21</v>
      </c>
      <c r="BH77" s="79">
        <v>-1329.21</v>
      </c>
      <c r="BI77" s="79">
        <v>-1329.21</v>
      </c>
      <c r="BJ77" s="79">
        <v>-1329.21</v>
      </c>
      <c r="BK77" s="79">
        <v>-1329.21</v>
      </c>
      <c r="BL77" s="79">
        <v>-1329.21</v>
      </c>
      <c r="BM77" s="79">
        <v>-1329.21</v>
      </c>
      <c r="BN77" s="79">
        <v>-1329.21</v>
      </c>
      <c r="BO77" s="79">
        <v>-1329.21</v>
      </c>
      <c r="BP77" s="79">
        <v>-1329.21</v>
      </c>
      <c r="BQ77" s="79">
        <v>-1329.21</v>
      </c>
      <c r="BR77" s="79">
        <v>-1329.21</v>
      </c>
      <c r="BS77" s="79">
        <v>0</v>
      </c>
      <c r="BT77" s="79">
        <v>0</v>
      </c>
      <c r="BU77" s="79">
        <v>0</v>
      </c>
      <c r="BV77" s="79">
        <v>0</v>
      </c>
      <c r="BW77" s="79">
        <v>0</v>
      </c>
      <c r="BX77" s="79">
        <v>0</v>
      </c>
      <c r="BY77" s="79">
        <v>0</v>
      </c>
      <c r="BZ77" s="79">
        <v>0</v>
      </c>
      <c r="CA77" s="79">
        <v>0</v>
      </c>
      <c r="CB77" s="79">
        <v>0</v>
      </c>
      <c r="CC77" s="79">
        <v>0</v>
      </c>
    </row>
    <row r="78" spans="2:81" s="79" customFormat="1" x14ac:dyDescent="0.25">
      <c r="B78" s="84" t="s">
        <v>322</v>
      </c>
      <c r="C78" s="79">
        <v>0</v>
      </c>
      <c r="D78" s="79">
        <v>0</v>
      </c>
      <c r="E78" s="79">
        <v>0</v>
      </c>
      <c r="F78" s="79">
        <v>0</v>
      </c>
      <c r="G78" s="79">
        <v>0</v>
      </c>
      <c r="H78" s="79">
        <v>0</v>
      </c>
      <c r="I78" s="79">
        <v>0</v>
      </c>
      <c r="J78" s="79">
        <v>0</v>
      </c>
      <c r="K78" s="79">
        <v>0</v>
      </c>
      <c r="L78" s="79">
        <v>0</v>
      </c>
      <c r="M78" s="79">
        <v>0</v>
      </c>
      <c r="N78" s="79">
        <v>0</v>
      </c>
      <c r="O78" s="79">
        <v>0</v>
      </c>
      <c r="P78" s="79">
        <v>0</v>
      </c>
      <c r="Q78" s="79">
        <v>0</v>
      </c>
      <c r="R78" s="79">
        <v>0</v>
      </c>
      <c r="S78" s="79">
        <v>0</v>
      </c>
      <c r="T78" s="79">
        <v>0</v>
      </c>
      <c r="U78" s="79">
        <v>0</v>
      </c>
      <c r="V78" s="79">
        <v>0</v>
      </c>
      <c r="W78" s="79">
        <v>0</v>
      </c>
      <c r="X78" s="79">
        <v>0</v>
      </c>
      <c r="Y78" s="79">
        <v>0</v>
      </c>
      <c r="Z78" s="79">
        <v>0</v>
      </c>
      <c r="AA78" s="79">
        <v>0</v>
      </c>
      <c r="AB78" s="79">
        <v>0</v>
      </c>
      <c r="AC78" s="79">
        <v>0</v>
      </c>
      <c r="AD78" s="79">
        <v>0</v>
      </c>
      <c r="AE78" s="79">
        <v>0</v>
      </c>
      <c r="AF78" s="79">
        <v>0</v>
      </c>
      <c r="AG78" s="79">
        <v>0</v>
      </c>
      <c r="AH78" s="79">
        <v>0</v>
      </c>
      <c r="AI78" s="79">
        <v>0</v>
      </c>
      <c r="AJ78" s="79">
        <v>0</v>
      </c>
      <c r="AK78" s="79">
        <v>0</v>
      </c>
      <c r="AL78" s="79">
        <v>0</v>
      </c>
      <c r="AM78" s="79">
        <v>0</v>
      </c>
      <c r="AN78" s="79">
        <v>-61</v>
      </c>
      <c r="AO78" s="79">
        <v>-61</v>
      </c>
      <c r="AP78" s="79">
        <v>-61</v>
      </c>
      <c r="AQ78" s="79">
        <v>0</v>
      </c>
      <c r="AR78" s="79">
        <v>0</v>
      </c>
      <c r="AS78" s="79">
        <v>0</v>
      </c>
      <c r="AT78" s="79">
        <v>0</v>
      </c>
      <c r="AU78" s="79">
        <v>0</v>
      </c>
      <c r="AV78" s="79">
        <v>0</v>
      </c>
      <c r="AW78" s="79">
        <v>0</v>
      </c>
      <c r="AX78" s="79">
        <v>0</v>
      </c>
      <c r="AY78" s="79">
        <v>0</v>
      </c>
      <c r="AZ78" s="79">
        <v>-61</v>
      </c>
      <c r="BA78" s="79">
        <v>0</v>
      </c>
      <c r="BB78" s="79">
        <v>0</v>
      </c>
      <c r="BC78" s="79">
        <v>0</v>
      </c>
      <c r="BD78" s="79">
        <v>0</v>
      </c>
      <c r="BE78" s="79">
        <v>0</v>
      </c>
      <c r="BF78" s="79">
        <v>-224</v>
      </c>
      <c r="BG78" s="79">
        <v>-224</v>
      </c>
      <c r="BH78" s="79">
        <v>-224</v>
      </c>
      <c r="BI78" s="79">
        <v>-224</v>
      </c>
      <c r="BJ78" s="79">
        <v>-224</v>
      </c>
      <c r="BK78" s="79">
        <v>-224</v>
      </c>
      <c r="BL78" s="79">
        <v>-224</v>
      </c>
      <c r="BM78" s="79">
        <v>-224</v>
      </c>
      <c r="BN78" s="79">
        <v>-224</v>
      </c>
      <c r="BO78" s="79">
        <v>-224</v>
      </c>
      <c r="BP78" s="79">
        <v>-224</v>
      </c>
      <c r="BQ78" s="79">
        <v>-224</v>
      </c>
      <c r="BR78" s="79">
        <v>-224</v>
      </c>
      <c r="BS78" s="79">
        <v>0</v>
      </c>
      <c r="BT78" s="79">
        <v>0</v>
      </c>
      <c r="BU78" s="79">
        <v>0</v>
      </c>
      <c r="BV78" s="79">
        <v>0</v>
      </c>
      <c r="BW78" s="79">
        <v>0</v>
      </c>
      <c r="BX78" s="79">
        <v>0</v>
      </c>
      <c r="BY78" s="79">
        <v>0</v>
      </c>
      <c r="BZ78" s="79">
        <v>0</v>
      </c>
      <c r="CA78" s="79">
        <v>0</v>
      </c>
      <c r="CB78" s="79">
        <v>0</v>
      </c>
      <c r="CC78" s="79">
        <v>0</v>
      </c>
    </row>
    <row r="79" spans="2:81" x14ac:dyDescent="0.25">
      <c r="B79" s="84">
        <v>7604</v>
      </c>
      <c r="C79" s="79">
        <v>0</v>
      </c>
      <c r="D79" s="79">
        <v>0</v>
      </c>
      <c r="E79" s="79">
        <v>0</v>
      </c>
      <c r="F79" s="79">
        <v>0</v>
      </c>
      <c r="G79" s="79">
        <v>0</v>
      </c>
      <c r="H79" s="79">
        <v>0</v>
      </c>
      <c r="I79" s="79">
        <v>0</v>
      </c>
      <c r="J79" s="79">
        <v>0</v>
      </c>
      <c r="K79" s="79">
        <v>0</v>
      </c>
      <c r="L79" s="79">
        <v>0</v>
      </c>
      <c r="M79" s="79">
        <v>0</v>
      </c>
      <c r="N79" s="79">
        <v>0</v>
      </c>
      <c r="O79" s="79">
        <v>0</v>
      </c>
      <c r="P79" s="79">
        <v>0</v>
      </c>
      <c r="Q79" s="79">
        <v>0</v>
      </c>
      <c r="R79" s="79">
        <v>0</v>
      </c>
      <c r="S79" s="79">
        <v>0</v>
      </c>
      <c r="T79" s="79">
        <v>0</v>
      </c>
      <c r="U79" s="79">
        <v>0</v>
      </c>
      <c r="V79" s="79">
        <v>0</v>
      </c>
      <c r="W79" s="79">
        <v>0</v>
      </c>
      <c r="X79" s="79">
        <v>0</v>
      </c>
      <c r="Y79" s="79">
        <v>0</v>
      </c>
      <c r="Z79" s="79">
        <v>0</v>
      </c>
      <c r="AA79" s="79">
        <v>0</v>
      </c>
      <c r="AB79" s="79">
        <v>0</v>
      </c>
      <c r="AC79" s="79">
        <v>0</v>
      </c>
      <c r="AD79" s="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-1084.5</v>
      </c>
      <c r="AK79">
        <v>-1084.5</v>
      </c>
      <c r="AL79">
        <v>-1084.5</v>
      </c>
      <c r="AM79">
        <v>-1084.5</v>
      </c>
      <c r="AN79">
        <v>-1084.5</v>
      </c>
      <c r="AO79">
        <v>-1084.5</v>
      </c>
      <c r="AP79">
        <v>-1084.5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-1084.5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 s="79">
        <v>0</v>
      </c>
      <c r="BF79" s="79">
        <v>0</v>
      </c>
      <c r="BG79" s="79">
        <v>0</v>
      </c>
      <c r="BH79" s="79">
        <v>0</v>
      </c>
      <c r="BI79" s="79">
        <v>0</v>
      </c>
      <c r="BJ79" s="79">
        <v>0</v>
      </c>
      <c r="BK79" s="79">
        <v>0</v>
      </c>
      <c r="BL79" s="79">
        <v>0</v>
      </c>
      <c r="BM79" s="79">
        <v>0</v>
      </c>
      <c r="BN79" s="79">
        <v>0</v>
      </c>
      <c r="BO79" s="79">
        <v>0</v>
      </c>
      <c r="BP79" s="79">
        <v>0</v>
      </c>
      <c r="BQ79" s="79">
        <v>0</v>
      </c>
      <c r="BR79" s="79">
        <v>0</v>
      </c>
      <c r="BS79" s="79">
        <v>0</v>
      </c>
      <c r="BT79" s="79">
        <v>0</v>
      </c>
      <c r="BU79" s="79">
        <v>0</v>
      </c>
      <c r="BV79" s="79">
        <v>0</v>
      </c>
      <c r="BW79" s="79">
        <v>0</v>
      </c>
      <c r="BX79" s="79">
        <v>0</v>
      </c>
      <c r="BY79" s="79">
        <v>0</v>
      </c>
      <c r="BZ79" s="79">
        <v>0</v>
      </c>
      <c r="CA79" s="79">
        <v>0</v>
      </c>
      <c r="CB79" s="79">
        <v>0</v>
      </c>
      <c r="CC79" s="79">
        <v>0</v>
      </c>
    </row>
    <row r="80" spans="2:81" x14ac:dyDescent="0.25">
      <c r="B80" s="84" t="s">
        <v>323</v>
      </c>
      <c r="C80" s="79">
        <v>0</v>
      </c>
      <c r="D80" s="79">
        <v>0</v>
      </c>
      <c r="E80" s="79">
        <v>0</v>
      </c>
      <c r="F80" s="79">
        <v>0</v>
      </c>
      <c r="G80" s="79">
        <v>0</v>
      </c>
      <c r="H80" s="79">
        <v>0</v>
      </c>
      <c r="I80" s="79">
        <v>0</v>
      </c>
      <c r="J80" s="79">
        <v>0</v>
      </c>
      <c r="K80" s="79">
        <v>0</v>
      </c>
      <c r="L80" s="79">
        <v>0</v>
      </c>
      <c r="M80" s="79">
        <v>0</v>
      </c>
      <c r="N80" s="79">
        <v>0</v>
      </c>
      <c r="O80" s="79">
        <v>0</v>
      </c>
      <c r="P80" s="79">
        <v>0</v>
      </c>
      <c r="Q80" s="79">
        <v>0</v>
      </c>
      <c r="R80" s="79">
        <v>0</v>
      </c>
      <c r="S80" s="79">
        <v>0</v>
      </c>
      <c r="T80" s="79">
        <v>0</v>
      </c>
      <c r="U80" s="79">
        <v>0</v>
      </c>
      <c r="V80" s="79">
        <v>0</v>
      </c>
      <c r="W80" s="79">
        <v>0</v>
      </c>
      <c r="X80" s="79">
        <v>0</v>
      </c>
      <c r="Y80" s="79">
        <v>0</v>
      </c>
      <c r="Z80" s="79">
        <v>0</v>
      </c>
      <c r="AA80" s="79">
        <v>0</v>
      </c>
      <c r="AB80" s="79">
        <v>0</v>
      </c>
      <c r="AC80" s="79">
        <v>0</v>
      </c>
      <c r="AD80" s="79">
        <v>0</v>
      </c>
      <c r="AE80">
        <v>0</v>
      </c>
      <c r="AF80">
        <v>85.72</v>
      </c>
      <c r="AG80">
        <v>158.02000000000001</v>
      </c>
      <c r="AH80">
        <v>158.02000000000001</v>
      </c>
      <c r="AI80">
        <v>158.02000000000001</v>
      </c>
      <c r="AJ80">
        <v>158.02000000000001</v>
      </c>
      <c r="AK80">
        <v>158.02000000000001</v>
      </c>
      <c r="AL80">
        <v>158.02000000000001</v>
      </c>
      <c r="AM80">
        <v>158.02000000000001</v>
      </c>
      <c r="AN80">
        <v>158.02000000000001</v>
      </c>
      <c r="AO80">
        <v>158.02000000000001</v>
      </c>
      <c r="AP80">
        <v>158.02000000000001</v>
      </c>
      <c r="AQ80">
        <v>0</v>
      </c>
      <c r="AR80">
        <v>85.72</v>
      </c>
      <c r="AS80">
        <v>72.3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 s="79">
        <v>0</v>
      </c>
      <c r="BF80" s="79">
        <v>0</v>
      </c>
      <c r="BG80" s="79">
        <v>0</v>
      </c>
      <c r="BH80" s="79">
        <v>0</v>
      </c>
      <c r="BI80" s="79">
        <v>0</v>
      </c>
      <c r="BJ80" s="79">
        <v>0</v>
      </c>
      <c r="BK80" s="79">
        <v>0</v>
      </c>
      <c r="BL80" s="79">
        <v>0</v>
      </c>
      <c r="BM80" s="79">
        <v>0</v>
      </c>
      <c r="BN80" s="79">
        <v>0</v>
      </c>
      <c r="BO80" s="79">
        <v>0</v>
      </c>
      <c r="BP80" s="79">
        <v>0</v>
      </c>
      <c r="BQ80" s="79">
        <v>0</v>
      </c>
      <c r="BR80" s="79">
        <v>0</v>
      </c>
      <c r="BS80" s="79">
        <v>0</v>
      </c>
      <c r="BT80" s="79">
        <v>0</v>
      </c>
      <c r="BU80" s="79">
        <v>0</v>
      </c>
      <c r="BV80" s="79">
        <v>0</v>
      </c>
      <c r="BW80" s="79">
        <v>0</v>
      </c>
      <c r="BX80" s="79">
        <v>0</v>
      </c>
      <c r="BY80" s="79">
        <v>0</v>
      </c>
      <c r="BZ80" s="79">
        <v>0</v>
      </c>
      <c r="CA80" s="79">
        <v>0</v>
      </c>
      <c r="CB80" s="79">
        <v>0</v>
      </c>
      <c r="CC80" s="79">
        <v>0</v>
      </c>
    </row>
    <row r="81" spans="2:81" x14ac:dyDescent="0.25">
      <c r="B81" s="84" t="s">
        <v>207</v>
      </c>
      <c r="C81" s="79">
        <v>-0.01</v>
      </c>
      <c r="D81" s="79">
        <v>0</v>
      </c>
      <c r="E81" s="79">
        <v>0</v>
      </c>
      <c r="F81" s="79">
        <v>0</v>
      </c>
      <c r="G81" s="79">
        <v>0</v>
      </c>
      <c r="H81" s="79">
        <v>0</v>
      </c>
      <c r="I81" s="79">
        <v>0</v>
      </c>
      <c r="J81" s="79">
        <v>0</v>
      </c>
      <c r="K81" s="79">
        <v>0</v>
      </c>
      <c r="L81" s="79">
        <v>0</v>
      </c>
      <c r="M81" s="79">
        <v>0</v>
      </c>
      <c r="N81" s="79">
        <v>-0.01</v>
      </c>
      <c r="O81" s="79">
        <v>-0.01</v>
      </c>
      <c r="P81" s="79">
        <v>798.11</v>
      </c>
      <c r="Q81" s="79">
        <v>0</v>
      </c>
      <c r="R81" s="79">
        <v>0</v>
      </c>
      <c r="S81" s="79">
        <v>0</v>
      </c>
      <c r="T81" s="79">
        <v>0</v>
      </c>
      <c r="U81" s="79">
        <v>0</v>
      </c>
      <c r="V81" s="79">
        <v>0</v>
      </c>
      <c r="W81" s="79">
        <v>0</v>
      </c>
      <c r="X81" s="79">
        <v>0</v>
      </c>
      <c r="Y81" s="79">
        <v>0</v>
      </c>
      <c r="Z81" s="79">
        <v>0</v>
      </c>
      <c r="AA81" s="79">
        <v>0</v>
      </c>
      <c r="AB81" s="79">
        <v>-0.01</v>
      </c>
      <c r="AC81" s="79">
        <v>0</v>
      </c>
      <c r="AD81" s="79">
        <v>798.12</v>
      </c>
      <c r="AE81">
        <v>-2302.63</v>
      </c>
      <c r="AF81">
        <v>-2302.63</v>
      </c>
      <c r="AG81">
        <v>454.72</v>
      </c>
      <c r="AH81">
        <v>454.72</v>
      </c>
      <c r="AI81">
        <v>-2530.9499999999998</v>
      </c>
      <c r="AJ81">
        <v>-2530.9499999999998</v>
      </c>
      <c r="AK81">
        <v>-2530.9499999999998</v>
      </c>
      <c r="AL81">
        <v>-2530.9499999999998</v>
      </c>
      <c r="AM81">
        <v>-2530.9499999999998</v>
      </c>
      <c r="AN81">
        <v>-2530.9499999999998</v>
      </c>
      <c r="AO81">
        <v>-2530.9499999999998</v>
      </c>
      <c r="AP81">
        <v>-2530.94</v>
      </c>
      <c r="AQ81">
        <v>-2302.63</v>
      </c>
      <c r="AR81">
        <v>0</v>
      </c>
      <c r="AS81">
        <v>2757.35</v>
      </c>
      <c r="AT81">
        <v>0</v>
      </c>
      <c r="AU81">
        <v>-2985.67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0.01</v>
      </c>
      <c r="BC81">
        <v>0</v>
      </c>
      <c r="BD81">
        <v>0</v>
      </c>
      <c r="BE81" s="79">
        <v>0</v>
      </c>
      <c r="BF81" s="79">
        <v>0</v>
      </c>
      <c r="BG81" s="79">
        <v>0</v>
      </c>
      <c r="BH81" s="79">
        <v>0</v>
      </c>
      <c r="BI81" s="79">
        <v>0</v>
      </c>
      <c r="BJ81" s="79">
        <v>0</v>
      </c>
      <c r="BK81" s="79">
        <v>0</v>
      </c>
      <c r="BL81" s="79">
        <v>0</v>
      </c>
      <c r="BM81" s="79">
        <v>0</v>
      </c>
      <c r="BN81" s="79">
        <v>0</v>
      </c>
      <c r="BO81" s="79">
        <v>0</v>
      </c>
      <c r="BP81" s="79">
        <v>0</v>
      </c>
      <c r="BQ81" s="79">
        <v>0</v>
      </c>
      <c r="BR81" s="79">
        <v>0</v>
      </c>
      <c r="BS81" s="79">
        <v>0</v>
      </c>
      <c r="BT81" s="79">
        <v>0</v>
      </c>
      <c r="BU81" s="79">
        <v>0</v>
      </c>
      <c r="BV81" s="79">
        <v>0</v>
      </c>
      <c r="BW81" s="79">
        <v>0</v>
      </c>
      <c r="BX81" s="79">
        <v>0</v>
      </c>
      <c r="BY81" s="79">
        <v>0</v>
      </c>
      <c r="BZ81" s="79">
        <v>0</v>
      </c>
      <c r="CA81" s="79">
        <v>0</v>
      </c>
      <c r="CB81" s="79">
        <v>0</v>
      </c>
      <c r="CC81" s="79">
        <v>0</v>
      </c>
    </row>
    <row r="82" spans="2:81" x14ac:dyDescent="0.25">
      <c r="B82" s="84" t="s">
        <v>125</v>
      </c>
      <c r="C82" s="79">
        <v>118.5</v>
      </c>
      <c r="D82" s="79">
        <v>0</v>
      </c>
      <c r="E82" s="79">
        <v>0</v>
      </c>
      <c r="F82" s="79">
        <v>0</v>
      </c>
      <c r="G82" s="79">
        <v>118.5</v>
      </c>
      <c r="H82" s="79">
        <v>118.5</v>
      </c>
      <c r="I82" s="79">
        <v>118.5</v>
      </c>
      <c r="J82" s="79">
        <v>118.5</v>
      </c>
      <c r="K82" s="79">
        <v>118.5</v>
      </c>
      <c r="L82" s="79">
        <v>118.5</v>
      </c>
      <c r="M82" s="79">
        <v>118.5</v>
      </c>
      <c r="N82" s="79">
        <v>118.5</v>
      </c>
      <c r="O82" s="79">
        <v>118.5</v>
      </c>
      <c r="P82" s="79">
        <v>-617.41</v>
      </c>
      <c r="Q82" s="79">
        <v>0</v>
      </c>
      <c r="R82" s="79">
        <v>-5872.04</v>
      </c>
      <c r="S82" s="79">
        <v>0</v>
      </c>
      <c r="T82" s="79">
        <v>0</v>
      </c>
      <c r="U82" s="79">
        <v>118.5</v>
      </c>
      <c r="V82" s="79">
        <v>0</v>
      </c>
      <c r="W82" s="79">
        <v>0</v>
      </c>
      <c r="X82" s="79">
        <v>0</v>
      </c>
      <c r="Y82" s="79">
        <v>0</v>
      </c>
      <c r="Z82" s="79">
        <v>0</v>
      </c>
      <c r="AA82" s="79">
        <v>0</v>
      </c>
      <c r="AB82" s="79">
        <v>0</v>
      </c>
      <c r="AC82" s="79">
        <v>0</v>
      </c>
      <c r="AD82" s="79">
        <v>-735.91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-1.19</v>
      </c>
      <c r="AO82">
        <v>-1.21</v>
      </c>
      <c r="AP82">
        <v>-1.21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-1.19</v>
      </c>
      <c r="BA82">
        <v>-0.02</v>
      </c>
      <c r="BB82">
        <v>0</v>
      </c>
      <c r="BC82">
        <v>0</v>
      </c>
      <c r="BD82">
        <v>0</v>
      </c>
      <c r="BE82" s="79">
        <v>0</v>
      </c>
      <c r="BF82" s="79">
        <v>0</v>
      </c>
      <c r="BG82" s="79">
        <v>0</v>
      </c>
      <c r="BH82" s="79">
        <v>0</v>
      </c>
      <c r="BI82" s="79">
        <v>0</v>
      </c>
      <c r="BJ82" s="79">
        <v>0</v>
      </c>
      <c r="BK82" s="79">
        <v>0</v>
      </c>
      <c r="BL82" s="79">
        <v>0</v>
      </c>
      <c r="BM82" s="79">
        <v>0</v>
      </c>
      <c r="BN82" s="79">
        <v>0</v>
      </c>
      <c r="BO82" s="79">
        <v>0</v>
      </c>
      <c r="BP82" s="79">
        <v>0</v>
      </c>
      <c r="BQ82" s="79">
        <v>0</v>
      </c>
      <c r="BR82" s="79">
        <v>0</v>
      </c>
      <c r="BS82" s="79">
        <v>0</v>
      </c>
      <c r="BT82" s="79">
        <v>0</v>
      </c>
      <c r="BU82" s="79">
        <v>0</v>
      </c>
      <c r="BV82" s="79">
        <v>0</v>
      </c>
      <c r="BW82" s="79">
        <v>0</v>
      </c>
      <c r="BX82" s="79">
        <v>0</v>
      </c>
      <c r="BY82" s="79">
        <v>0</v>
      </c>
      <c r="BZ82" s="79">
        <v>0</v>
      </c>
      <c r="CA82" s="79">
        <v>0</v>
      </c>
      <c r="CB82" s="79">
        <v>0</v>
      </c>
      <c r="CC82" s="79">
        <v>0</v>
      </c>
    </row>
    <row r="83" spans="2:81" x14ac:dyDescent="0.25">
      <c r="B83" s="84" t="s">
        <v>165</v>
      </c>
      <c r="C83" s="79">
        <v>-121.26</v>
      </c>
      <c r="D83" s="79">
        <v>0</v>
      </c>
      <c r="E83" s="79">
        <v>0</v>
      </c>
      <c r="F83" s="79">
        <v>0</v>
      </c>
      <c r="G83" s="79">
        <v>0</v>
      </c>
      <c r="H83" s="79">
        <v>0</v>
      </c>
      <c r="I83" s="79">
        <v>0</v>
      </c>
      <c r="J83" s="79">
        <v>0</v>
      </c>
      <c r="K83" s="79">
        <v>0</v>
      </c>
      <c r="L83" s="79">
        <v>0</v>
      </c>
      <c r="M83" s="79">
        <v>0</v>
      </c>
      <c r="N83" s="79">
        <v>-121.26</v>
      </c>
      <c r="O83" s="79">
        <v>-121.26</v>
      </c>
      <c r="P83" s="79">
        <v>-165.33</v>
      </c>
      <c r="Q83" s="79">
        <v>0</v>
      </c>
      <c r="R83" s="79">
        <v>0</v>
      </c>
      <c r="S83" s="79">
        <v>0</v>
      </c>
      <c r="T83" s="79">
        <v>0</v>
      </c>
      <c r="U83" s="79">
        <v>0</v>
      </c>
      <c r="V83" s="79">
        <v>0</v>
      </c>
      <c r="W83" s="79">
        <v>0</v>
      </c>
      <c r="X83" s="79">
        <v>0</v>
      </c>
      <c r="Y83" s="79">
        <v>0</v>
      </c>
      <c r="Z83" s="79">
        <v>0</v>
      </c>
      <c r="AA83" s="79">
        <v>0</v>
      </c>
      <c r="AB83" s="79">
        <v>-121.26</v>
      </c>
      <c r="AC83" s="79">
        <v>0</v>
      </c>
      <c r="AD83" s="79">
        <v>-44.07</v>
      </c>
      <c r="AE83">
        <v>0</v>
      </c>
      <c r="AF83">
        <v>0</v>
      </c>
      <c r="AG83">
        <v>-10.050000000000001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-10.050000000000001</v>
      </c>
      <c r="AT83">
        <v>10.050000000000001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-2.8421709430404007E-14</v>
      </c>
      <c r="BD83">
        <v>0</v>
      </c>
      <c r="BE83" s="79">
        <v>0</v>
      </c>
      <c r="BF83" s="79">
        <v>-300</v>
      </c>
      <c r="BG83" s="79">
        <v>-300</v>
      </c>
      <c r="BH83" s="79">
        <v>-300</v>
      </c>
      <c r="BI83" s="79">
        <v>-300</v>
      </c>
      <c r="BJ83" s="79">
        <v>-300</v>
      </c>
      <c r="BK83" s="79">
        <v>-300</v>
      </c>
      <c r="BL83" s="79">
        <v>-300</v>
      </c>
      <c r="BM83" s="79">
        <v>-300</v>
      </c>
      <c r="BN83" s="79">
        <v>-300</v>
      </c>
      <c r="BO83" s="79">
        <v>-300</v>
      </c>
      <c r="BP83" s="79">
        <v>-300</v>
      </c>
      <c r="BQ83" s="79">
        <v>-300</v>
      </c>
      <c r="BR83" s="79">
        <v>-300</v>
      </c>
      <c r="BS83" s="79">
        <v>0</v>
      </c>
      <c r="BT83" s="79">
        <v>0</v>
      </c>
      <c r="BU83" s="79">
        <v>0</v>
      </c>
      <c r="BV83" s="79">
        <v>0</v>
      </c>
      <c r="BW83" s="79">
        <v>0</v>
      </c>
      <c r="BX83" s="79">
        <v>0</v>
      </c>
      <c r="BY83" s="79">
        <v>0</v>
      </c>
      <c r="BZ83" s="79">
        <v>0</v>
      </c>
      <c r="CA83" s="79">
        <v>0</v>
      </c>
      <c r="CB83" s="79">
        <v>0</v>
      </c>
      <c r="CC83" s="79">
        <v>0</v>
      </c>
    </row>
    <row r="84" spans="2:81" x14ac:dyDescent="0.25">
      <c r="B84" s="84" t="s">
        <v>124</v>
      </c>
      <c r="C84" s="79">
        <v>-3300</v>
      </c>
      <c r="D84" s="79">
        <v>0</v>
      </c>
      <c r="E84" s="79">
        <v>-300</v>
      </c>
      <c r="F84" s="79">
        <v>-600</v>
      </c>
      <c r="G84" s="79">
        <v>-900</v>
      </c>
      <c r="H84" s="79">
        <v>-1200</v>
      </c>
      <c r="I84" s="79">
        <v>-1500</v>
      </c>
      <c r="J84" s="79">
        <v>-1800</v>
      </c>
      <c r="K84" s="79">
        <v>-2100</v>
      </c>
      <c r="L84" s="79">
        <v>-2400</v>
      </c>
      <c r="M84" s="79">
        <v>-2700</v>
      </c>
      <c r="N84" s="79">
        <v>-3000</v>
      </c>
      <c r="O84" s="79">
        <v>-3300</v>
      </c>
      <c r="P84" s="79">
        <v>-3780</v>
      </c>
      <c r="Q84" s="79">
        <v>-300</v>
      </c>
      <c r="R84" s="79">
        <v>3300</v>
      </c>
      <c r="S84" s="79">
        <v>-300</v>
      </c>
      <c r="T84" s="79">
        <v>-300</v>
      </c>
      <c r="U84" s="79">
        <v>-300</v>
      </c>
      <c r="V84" s="79">
        <v>-300</v>
      </c>
      <c r="W84" s="79">
        <v>-300</v>
      </c>
      <c r="X84" s="79">
        <v>-300</v>
      </c>
      <c r="Y84" s="79">
        <v>-300</v>
      </c>
      <c r="Z84" s="79">
        <v>-300</v>
      </c>
      <c r="AA84" s="79">
        <v>-300</v>
      </c>
      <c r="AB84" s="79">
        <v>-300</v>
      </c>
      <c r="AC84" s="79">
        <v>-300</v>
      </c>
      <c r="AD84" s="79">
        <v>-480</v>
      </c>
      <c r="AE84">
        <v>-300</v>
      </c>
      <c r="AF84">
        <v>-600</v>
      </c>
      <c r="AG84">
        <v>-900</v>
      </c>
      <c r="AH84">
        <v>-1200</v>
      </c>
      <c r="AI84">
        <v>-1500</v>
      </c>
      <c r="AJ84">
        <v>-1800</v>
      </c>
      <c r="AK84">
        <v>-2100</v>
      </c>
      <c r="AL84">
        <v>-2400</v>
      </c>
      <c r="AM84">
        <v>-2700</v>
      </c>
      <c r="AN84">
        <v>-3000</v>
      </c>
      <c r="AO84">
        <v>-3300</v>
      </c>
      <c r="AP84">
        <v>-3600</v>
      </c>
      <c r="AQ84">
        <v>-300</v>
      </c>
      <c r="AR84">
        <v>-300</v>
      </c>
      <c r="AS84">
        <v>-300</v>
      </c>
      <c r="AT84">
        <v>-300</v>
      </c>
      <c r="AU84">
        <v>-300</v>
      </c>
      <c r="AV84">
        <v>-300</v>
      </c>
      <c r="AW84">
        <v>-300</v>
      </c>
      <c r="AX84">
        <v>-300</v>
      </c>
      <c r="AY84">
        <v>-300</v>
      </c>
      <c r="AZ84">
        <v>-300</v>
      </c>
      <c r="BA84">
        <v>-300</v>
      </c>
      <c r="BB84">
        <v>-300</v>
      </c>
      <c r="BC84">
        <v>0</v>
      </c>
      <c r="BD84">
        <v>0</v>
      </c>
      <c r="BE84" s="79">
        <v>0</v>
      </c>
      <c r="BF84" s="79">
        <v>0</v>
      </c>
      <c r="BG84" s="79">
        <v>0</v>
      </c>
      <c r="BH84" s="79">
        <v>0</v>
      </c>
      <c r="BI84" s="79">
        <v>0</v>
      </c>
      <c r="BJ84" s="79">
        <v>0</v>
      </c>
      <c r="BK84" s="79">
        <v>0</v>
      </c>
      <c r="BL84" s="79">
        <v>0</v>
      </c>
      <c r="BM84" s="79">
        <v>0</v>
      </c>
      <c r="BN84" s="79">
        <v>0</v>
      </c>
      <c r="BO84" s="79">
        <v>0</v>
      </c>
      <c r="BP84" s="79">
        <v>0</v>
      </c>
      <c r="BQ84" s="79">
        <v>0</v>
      </c>
      <c r="BR84" s="79">
        <v>0</v>
      </c>
      <c r="BS84" s="79">
        <v>0</v>
      </c>
      <c r="BT84" s="79">
        <v>0</v>
      </c>
      <c r="BU84" s="79">
        <v>0</v>
      </c>
      <c r="BV84" s="79">
        <v>0</v>
      </c>
      <c r="BW84" s="79">
        <v>0</v>
      </c>
      <c r="BX84" s="79">
        <v>0</v>
      </c>
      <c r="BY84" s="79">
        <v>0</v>
      </c>
      <c r="BZ84" s="79">
        <v>0</v>
      </c>
      <c r="CA84" s="79">
        <v>0</v>
      </c>
      <c r="CB84" s="79">
        <v>0</v>
      </c>
      <c r="CC84" s="79">
        <v>0</v>
      </c>
    </row>
    <row r="85" spans="2:81" x14ac:dyDescent="0.25">
      <c r="B85" s="84" t="s">
        <v>289</v>
      </c>
      <c r="C85" s="79">
        <v>0</v>
      </c>
      <c r="D85" s="79">
        <v>0</v>
      </c>
      <c r="E85" s="79">
        <v>0</v>
      </c>
      <c r="F85" s="79">
        <v>0</v>
      </c>
      <c r="G85" s="79">
        <v>0</v>
      </c>
      <c r="H85" s="79">
        <v>0</v>
      </c>
      <c r="I85" s="79">
        <v>0</v>
      </c>
      <c r="J85" s="79">
        <v>0</v>
      </c>
      <c r="K85" s="79">
        <v>0</v>
      </c>
      <c r="L85" s="79">
        <v>0</v>
      </c>
      <c r="M85" s="79">
        <v>0</v>
      </c>
      <c r="N85" s="79">
        <v>0</v>
      </c>
      <c r="O85" s="79">
        <v>0</v>
      </c>
      <c r="P85" s="79">
        <v>0</v>
      </c>
      <c r="Q85" s="79">
        <v>0</v>
      </c>
      <c r="R85" s="79">
        <v>0</v>
      </c>
      <c r="S85" s="79">
        <v>0</v>
      </c>
      <c r="T85" s="79">
        <v>0</v>
      </c>
      <c r="U85" s="79">
        <v>0</v>
      </c>
      <c r="V85" s="79">
        <v>0</v>
      </c>
      <c r="W85" s="79">
        <v>0</v>
      </c>
      <c r="X85" s="79">
        <v>0</v>
      </c>
      <c r="Y85" s="79">
        <v>0</v>
      </c>
      <c r="Z85" s="79">
        <v>0</v>
      </c>
      <c r="AA85" s="79">
        <v>0</v>
      </c>
      <c r="AB85" s="79">
        <v>0</v>
      </c>
      <c r="AC85" s="79">
        <v>0</v>
      </c>
      <c r="AD85" s="79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-39</v>
      </c>
      <c r="AM85">
        <v>-39</v>
      </c>
      <c r="AN85">
        <v>-39</v>
      </c>
      <c r="AO85">
        <v>-39</v>
      </c>
      <c r="AP85">
        <v>-219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-39</v>
      </c>
      <c r="AY85">
        <v>0</v>
      </c>
      <c r="AZ85">
        <v>0</v>
      </c>
      <c r="BA85">
        <v>0</v>
      </c>
      <c r="BB85">
        <v>-180</v>
      </c>
      <c r="BC85">
        <v>0</v>
      </c>
      <c r="BD85">
        <v>0</v>
      </c>
      <c r="BE85" s="79">
        <v>0</v>
      </c>
      <c r="BF85" s="79">
        <v>-105.65</v>
      </c>
      <c r="BG85" s="79">
        <v>-176.84</v>
      </c>
      <c r="BH85" s="79">
        <v>-176.84</v>
      </c>
      <c r="BI85" s="79">
        <v>-176.84</v>
      </c>
      <c r="BJ85" s="79">
        <v>-176.84</v>
      </c>
      <c r="BK85" s="79">
        <v>-176.84</v>
      </c>
      <c r="BL85" s="79">
        <v>-176.84</v>
      </c>
      <c r="BM85" s="79">
        <v>-176.84</v>
      </c>
      <c r="BN85" s="79">
        <v>-176.84</v>
      </c>
      <c r="BO85" s="79">
        <v>-176.84</v>
      </c>
      <c r="BP85" s="79">
        <v>-176.84</v>
      </c>
      <c r="BQ85" s="79">
        <v>-176.84</v>
      </c>
      <c r="BR85" s="79">
        <v>-135.58000000000001</v>
      </c>
      <c r="BS85" s="79">
        <v>-101.7</v>
      </c>
      <c r="BT85" s="79">
        <v>0</v>
      </c>
      <c r="BU85" s="79">
        <v>0</v>
      </c>
      <c r="BV85" s="79">
        <v>0</v>
      </c>
      <c r="BW85" s="79">
        <v>0</v>
      </c>
      <c r="BX85" s="79">
        <v>0</v>
      </c>
      <c r="BY85" s="79">
        <v>0</v>
      </c>
      <c r="BZ85" s="79">
        <v>0</v>
      </c>
      <c r="CA85" s="79">
        <v>0</v>
      </c>
      <c r="CB85" s="79">
        <v>0</v>
      </c>
      <c r="CC85" s="79">
        <v>0</v>
      </c>
    </row>
    <row r="86" spans="2:81" x14ac:dyDescent="0.25">
      <c r="B86" s="84" t="s">
        <v>98</v>
      </c>
      <c r="C86" s="79">
        <v>-3096.8</v>
      </c>
      <c r="D86" s="79">
        <v>0</v>
      </c>
      <c r="E86" s="79">
        <v>-209.41</v>
      </c>
      <c r="F86" s="79">
        <v>-470.33</v>
      </c>
      <c r="G86" s="79">
        <v>-688.07</v>
      </c>
      <c r="H86" s="79">
        <v>-951.1</v>
      </c>
      <c r="I86" s="79">
        <v>-1140.1300000000001</v>
      </c>
      <c r="J86" s="79">
        <v>-1442.91</v>
      </c>
      <c r="K86" s="79">
        <v>-1865.9</v>
      </c>
      <c r="L86" s="79">
        <v>-2148.6</v>
      </c>
      <c r="M86" s="79">
        <v>-2507.56</v>
      </c>
      <c r="N86" s="79">
        <v>-2770.33</v>
      </c>
      <c r="O86" s="79">
        <v>-3096.8</v>
      </c>
      <c r="P86" s="79">
        <v>-3399.7</v>
      </c>
      <c r="Q86" s="79">
        <v>-286.38</v>
      </c>
      <c r="R86" s="79">
        <v>2630.88</v>
      </c>
      <c r="S86" s="79">
        <v>-209.41</v>
      </c>
      <c r="T86" s="79">
        <v>-260.92</v>
      </c>
      <c r="U86" s="79">
        <v>-217.74</v>
      </c>
      <c r="V86" s="79">
        <v>-263.02999999999997</v>
      </c>
      <c r="W86" s="79">
        <v>-189.03</v>
      </c>
      <c r="X86" s="79">
        <v>-302.77999999999997</v>
      </c>
      <c r="Y86" s="79">
        <v>-422.99</v>
      </c>
      <c r="Z86" s="79">
        <v>-282.7</v>
      </c>
      <c r="AA86" s="79">
        <v>-358.96</v>
      </c>
      <c r="AB86" s="79">
        <v>-262.77</v>
      </c>
      <c r="AC86" s="79">
        <v>-326.47000000000003</v>
      </c>
      <c r="AD86" s="79">
        <v>-302.89999999999998</v>
      </c>
      <c r="AE86">
        <v>-150.22999999999999</v>
      </c>
      <c r="AF86">
        <v>-399.8</v>
      </c>
      <c r="AG86">
        <v>-680.04</v>
      </c>
      <c r="AH86">
        <v>-829.54</v>
      </c>
      <c r="AI86">
        <v>-1060.05</v>
      </c>
      <c r="AJ86">
        <v>-1285.29</v>
      </c>
      <c r="AK86">
        <v>-1395.54</v>
      </c>
      <c r="AL86">
        <v>-1487</v>
      </c>
      <c r="AM86">
        <v>-1650.4</v>
      </c>
      <c r="AN86">
        <v>-1766.55</v>
      </c>
      <c r="AO86">
        <v>-1871.31</v>
      </c>
      <c r="AP86">
        <v>-1999.72</v>
      </c>
      <c r="AQ86">
        <v>-150.22999999999999</v>
      </c>
      <c r="AR86">
        <v>-249.57</v>
      </c>
      <c r="AS86">
        <v>-280.24</v>
      </c>
      <c r="AT86">
        <v>-149.5</v>
      </c>
      <c r="AU86">
        <v>-230.51</v>
      </c>
      <c r="AV86">
        <v>-225.24</v>
      </c>
      <c r="AW86">
        <v>-110.25</v>
      </c>
      <c r="AX86">
        <v>-91.46</v>
      </c>
      <c r="AY86">
        <v>-163.4</v>
      </c>
      <c r="AZ86">
        <v>-116.15</v>
      </c>
      <c r="BA86">
        <v>-104.76</v>
      </c>
      <c r="BB86">
        <v>-128.41</v>
      </c>
      <c r="BC86">
        <v>0</v>
      </c>
      <c r="BD86">
        <v>0</v>
      </c>
      <c r="BE86" s="79">
        <v>0</v>
      </c>
      <c r="BF86" s="79">
        <v>-250</v>
      </c>
      <c r="BG86" s="79">
        <v>-250</v>
      </c>
      <c r="BH86" s="79">
        <v>-250</v>
      </c>
      <c r="BI86" s="79">
        <v>-250</v>
      </c>
      <c r="BJ86" s="79">
        <v>-250</v>
      </c>
      <c r="BK86" s="79">
        <v>-250</v>
      </c>
      <c r="BL86" s="79">
        <v>-250</v>
      </c>
      <c r="BM86" s="79">
        <v>-250</v>
      </c>
      <c r="BN86" s="79">
        <v>-250</v>
      </c>
      <c r="BO86" s="79">
        <v>-250</v>
      </c>
      <c r="BP86" s="79">
        <v>-250</v>
      </c>
      <c r="BQ86" s="79">
        <v>-250</v>
      </c>
      <c r="BR86" s="79">
        <v>-250</v>
      </c>
      <c r="BS86" s="79">
        <v>0</v>
      </c>
      <c r="BT86" s="79">
        <v>0</v>
      </c>
      <c r="BU86" s="79">
        <v>0</v>
      </c>
      <c r="BV86" s="79">
        <v>0</v>
      </c>
      <c r="BW86" s="79">
        <v>0</v>
      </c>
      <c r="BX86" s="79">
        <v>0</v>
      </c>
      <c r="BY86" s="79">
        <v>0</v>
      </c>
      <c r="BZ86" s="79">
        <v>0</v>
      </c>
      <c r="CA86" s="79">
        <v>0</v>
      </c>
      <c r="CB86" s="79">
        <v>0</v>
      </c>
      <c r="CC86" s="79">
        <v>0</v>
      </c>
    </row>
    <row r="87" spans="2:81" x14ac:dyDescent="0.25">
      <c r="B87" s="84" t="s">
        <v>123</v>
      </c>
      <c r="C87" s="79">
        <v>-2270</v>
      </c>
      <c r="D87" s="79">
        <v>0</v>
      </c>
      <c r="E87" s="79">
        <v>-160</v>
      </c>
      <c r="F87" s="79">
        <v>-320</v>
      </c>
      <c r="G87" s="79">
        <v>-480</v>
      </c>
      <c r="H87" s="79">
        <v>-670</v>
      </c>
      <c r="I87" s="79">
        <v>-860</v>
      </c>
      <c r="J87" s="79">
        <v>-1050</v>
      </c>
      <c r="K87" s="79">
        <v>-1270</v>
      </c>
      <c r="L87" s="79">
        <v>-1520</v>
      </c>
      <c r="M87" s="79">
        <v>-1770</v>
      </c>
      <c r="N87" s="79">
        <v>-2020</v>
      </c>
      <c r="O87" s="79">
        <v>-2270</v>
      </c>
      <c r="P87" s="79">
        <v>-2584.1999999999998</v>
      </c>
      <c r="Q87" s="79">
        <v>-100</v>
      </c>
      <c r="R87" s="79">
        <v>1100</v>
      </c>
      <c r="S87" s="79">
        <v>-160</v>
      </c>
      <c r="T87" s="79">
        <v>-160</v>
      </c>
      <c r="U87" s="79">
        <v>-160</v>
      </c>
      <c r="V87" s="79">
        <v>-190</v>
      </c>
      <c r="W87" s="79">
        <v>-190</v>
      </c>
      <c r="X87" s="79">
        <v>-190</v>
      </c>
      <c r="Y87" s="79">
        <v>-220</v>
      </c>
      <c r="Z87" s="79">
        <v>-250</v>
      </c>
      <c r="AA87" s="79">
        <v>-250</v>
      </c>
      <c r="AB87" s="79">
        <v>-250</v>
      </c>
      <c r="AC87" s="79">
        <v>-250</v>
      </c>
      <c r="AD87" s="79">
        <v>-314.2</v>
      </c>
      <c r="AE87">
        <v>-250</v>
      </c>
      <c r="AF87">
        <v>-500</v>
      </c>
      <c r="AG87">
        <v>-750</v>
      </c>
      <c r="AH87">
        <v>-1000</v>
      </c>
      <c r="AI87">
        <v>-1250</v>
      </c>
      <c r="AJ87">
        <v>-1500</v>
      </c>
      <c r="AK87">
        <v>-1750</v>
      </c>
      <c r="AL87">
        <v>-2000</v>
      </c>
      <c r="AM87">
        <v>-2250</v>
      </c>
      <c r="AN87">
        <v>-2500</v>
      </c>
      <c r="AO87">
        <v>-2750</v>
      </c>
      <c r="AP87">
        <v>-3000</v>
      </c>
      <c r="AQ87">
        <v>-250</v>
      </c>
      <c r="AR87">
        <v>-250</v>
      </c>
      <c r="AS87">
        <v>-250</v>
      </c>
      <c r="AT87">
        <v>-250</v>
      </c>
      <c r="AU87">
        <v>-250</v>
      </c>
      <c r="AV87">
        <v>-250</v>
      </c>
      <c r="AW87">
        <v>-250</v>
      </c>
      <c r="AX87">
        <v>-250</v>
      </c>
      <c r="AY87">
        <v>-250</v>
      </c>
      <c r="AZ87">
        <v>-250</v>
      </c>
      <c r="BA87">
        <v>-250</v>
      </c>
      <c r="BB87">
        <v>-250</v>
      </c>
      <c r="BC87">
        <v>0</v>
      </c>
      <c r="BD87">
        <v>0</v>
      </c>
      <c r="BE87" s="79">
        <v>0</v>
      </c>
      <c r="BF87" s="79">
        <v>0</v>
      </c>
      <c r="BG87" s="79">
        <v>0</v>
      </c>
      <c r="BH87" s="79">
        <v>0</v>
      </c>
      <c r="BI87" s="79">
        <v>0</v>
      </c>
      <c r="BJ87" s="79">
        <v>0</v>
      </c>
      <c r="BK87" s="79">
        <v>0</v>
      </c>
      <c r="BL87" s="79">
        <v>0</v>
      </c>
      <c r="BM87" s="79">
        <v>0</v>
      </c>
      <c r="BN87" s="79">
        <v>0</v>
      </c>
      <c r="BO87" s="79">
        <v>0</v>
      </c>
      <c r="BP87" s="79">
        <v>0</v>
      </c>
      <c r="BQ87" s="79">
        <v>0</v>
      </c>
      <c r="BR87" s="79">
        <v>0</v>
      </c>
      <c r="BS87" s="79">
        <v>0</v>
      </c>
      <c r="BT87" s="79">
        <v>0</v>
      </c>
      <c r="BU87" s="79">
        <v>0</v>
      </c>
      <c r="BV87" s="79">
        <v>0</v>
      </c>
      <c r="BW87" s="79">
        <v>0</v>
      </c>
      <c r="BX87" s="79">
        <v>0</v>
      </c>
      <c r="BY87" s="79">
        <v>0</v>
      </c>
      <c r="BZ87" s="79">
        <v>0</v>
      </c>
      <c r="CA87" s="79">
        <v>0</v>
      </c>
      <c r="CB87" s="79">
        <v>0</v>
      </c>
      <c r="CC87" s="79">
        <v>0</v>
      </c>
    </row>
    <row r="88" spans="2:81" x14ac:dyDescent="0.25">
      <c r="B88" s="84" t="s">
        <v>235</v>
      </c>
      <c r="C88" s="79">
        <v>0</v>
      </c>
      <c r="D88" s="79">
        <v>0</v>
      </c>
      <c r="E88" s="79">
        <v>0</v>
      </c>
      <c r="F88" s="79">
        <v>0</v>
      </c>
      <c r="G88" s="79">
        <v>0</v>
      </c>
      <c r="H88" s="79">
        <v>0</v>
      </c>
      <c r="I88" s="79">
        <v>0</v>
      </c>
      <c r="J88" s="79">
        <v>0</v>
      </c>
      <c r="K88" s="79">
        <v>0</v>
      </c>
      <c r="L88" s="79">
        <v>0</v>
      </c>
      <c r="M88" s="79">
        <v>0</v>
      </c>
      <c r="N88" s="79">
        <v>0</v>
      </c>
      <c r="O88" s="79">
        <v>0</v>
      </c>
      <c r="P88" s="79">
        <v>0</v>
      </c>
      <c r="Q88" s="79">
        <v>-200</v>
      </c>
      <c r="R88" s="79">
        <v>2200</v>
      </c>
      <c r="S88" s="79">
        <v>0</v>
      </c>
      <c r="T88" s="79">
        <v>0</v>
      </c>
      <c r="U88" s="79">
        <v>0</v>
      </c>
      <c r="V88" s="79">
        <v>0</v>
      </c>
      <c r="W88" s="79">
        <v>0</v>
      </c>
      <c r="X88" s="79">
        <v>0</v>
      </c>
      <c r="Y88" s="79">
        <v>0</v>
      </c>
      <c r="Z88" s="79">
        <v>0</v>
      </c>
      <c r="AA88" s="79">
        <v>0</v>
      </c>
      <c r="AB88" s="79">
        <v>0</v>
      </c>
      <c r="AC88" s="79">
        <v>0</v>
      </c>
      <c r="AD88" s="79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 s="79">
        <v>0</v>
      </c>
      <c r="BF88" s="79">
        <v>0</v>
      </c>
      <c r="BG88" s="79">
        <v>0</v>
      </c>
      <c r="BH88" s="79">
        <v>0</v>
      </c>
      <c r="BI88" s="79">
        <v>0</v>
      </c>
      <c r="BJ88" s="79">
        <v>0</v>
      </c>
      <c r="BK88" s="79">
        <v>0</v>
      </c>
      <c r="BL88" s="79">
        <v>0</v>
      </c>
      <c r="BM88" s="79">
        <v>0</v>
      </c>
      <c r="BN88" s="79">
        <v>0</v>
      </c>
      <c r="BO88" s="79">
        <v>0</v>
      </c>
      <c r="BP88" s="79">
        <v>0</v>
      </c>
      <c r="BQ88" s="79">
        <v>0</v>
      </c>
      <c r="BR88" s="79">
        <v>0</v>
      </c>
      <c r="BS88" s="79">
        <v>0</v>
      </c>
      <c r="BT88" s="79">
        <v>0</v>
      </c>
      <c r="BU88" s="79">
        <v>0</v>
      </c>
      <c r="BV88" s="79">
        <v>0</v>
      </c>
      <c r="BW88" s="79">
        <v>0</v>
      </c>
      <c r="BX88" s="79">
        <v>0</v>
      </c>
      <c r="BY88" s="79">
        <v>0</v>
      </c>
      <c r="BZ88" s="79">
        <v>0</v>
      </c>
      <c r="CA88" s="79">
        <v>0</v>
      </c>
      <c r="CB88" s="79">
        <v>0</v>
      </c>
      <c r="CC88" s="79">
        <v>0</v>
      </c>
    </row>
    <row r="89" spans="2:81" x14ac:dyDescent="0.25">
      <c r="B89" s="84" t="s">
        <v>290</v>
      </c>
      <c r="C89" s="79">
        <v>0</v>
      </c>
      <c r="D89" s="79">
        <v>0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79">
        <v>0</v>
      </c>
      <c r="K89" s="79">
        <v>0</v>
      </c>
      <c r="L89" s="79">
        <v>0</v>
      </c>
      <c r="M89" s="79">
        <v>0</v>
      </c>
      <c r="N89" s="79">
        <v>0</v>
      </c>
      <c r="O89" s="79">
        <v>0</v>
      </c>
      <c r="P89" s="79">
        <v>0</v>
      </c>
      <c r="Q89" s="79">
        <v>0</v>
      </c>
      <c r="R89" s="79">
        <v>0</v>
      </c>
      <c r="S89" s="79">
        <v>0</v>
      </c>
      <c r="T89" s="79">
        <v>0</v>
      </c>
      <c r="U89" s="79">
        <v>0</v>
      </c>
      <c r="V89" s="79">
        <v>0</v>
      </c>
      <c r="W89" s="79">
        <v>0</v>
      </c>
      <c r="X89" s="79">
        <v>0</v>
      </c>
      <c r="Y89" s="79">
        <v>0</v>
      </c>
      <c r="Z89" s="79">
        <v>0</v>
      </c>
      <c r="AA89" s="79">
        <v>0</v>
      </c>
      <c r="AB89" s="79">
        <v>0</v>
      </c>
      <c r="AC89" s="79">
        <v>0</v>
      </c>
      <c r="AD89" s="7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 s="79">
        <v>0</v>
      </c>
      <c r="BF89" s="79">
        <v>-125</v>
      </c>
      <c r="BG89" s="79">
        <v>-125</v>
      </c>
      <c r="BH89" s="79">
        <v>-125</v>
      </c>
      <c r="BI89" s="79">
        <v>-125</v>
      </c>
      <c r="BJ89" s="79">
        <v>-125</v>
      </c>
      <c r="BK89" s="79">
        <v>-125</v>
      </c>
      <c r="BL89" s="79">
        <v>-125</v>
      </c>
      <c r="BM89" s="79">
        <v>-125</v>
      </c>
      <c r="BN89" s="79">
        <v>-125</v>
      </c>
      <c r="BO89" s="79">
        <v>-125</v>
      </c>
      <c r="BP89" s="79">
        <v>-125</v>
      </c>
      <c r="BQ89" s="79">
        <v>-125</v>
      </c>
      <c r="BR89" s="79">
        <v>-125</v>
      </c>
      <c r="BS89" s="79">
        <v>0</v>
      </c>
      <c r="BT89" s="79">
        <v>0</v>
      </c>
      <c r="BU89" s="79">
        <v>0</v>
      </c>
      <c r="BV89" s="79">
        <v>0</v>
      </c>
      <c r="BW89" s="79">
        <v>0</v>
      </c>
      <c r="BX89" s="79">
        <v>0</v>
      </c>
      <c r="BY89" s="79">
        <v>0</v>
      </c>
      <c r="BZ89" s="79">
        <v>0</v>
      </c>
      <c r="CA89" s="79">
        <v>0</v>
      </c>
      <c r="CB89" s="79">
        <v>0</v>
      </c>
      <c r="CC89" s="79">
        <v>0</v>
      </c>
    </row>
    <row r="90" spans="2:81" x14ac:dyDescent="0.25">
      <c r="B90" s="84" t="s">
        <v>122</v>
      </c>
      <c r="C90" s="79">
        <v>-1375</v>
      </c>
      <c r="D90" s="79">
        <v>0</v>
      </c>
      <c r="E90" s="79">
        <v>-125</v>
      </c>
      <c r="F90" s="79">
        <v>-250</v>
      </c>
      <c r="G90" s="79">
        <v>-375</v>
      </c>
      <c r="H90" s="79">
        <v>-500</v>
      </c>
      <c r="I90" s="79">
        <v>-625</v>
      </c>
      <c r="J90" s="79">
        <v>-750</v>
      </c>
      <c r="K90" s="79">
        <v>-875</v>
      </c>
      <c r="L90" s="79">
        <v>-1000</v>
      </c>
      <c r="M90" s="79">
        <v>-1125</v>
      </c>
      <c r="N90" s="79">
        <v>-1250</v>
      </c>
      <c r="O90" s="79">
        <v>-1375</v>
      </c>
      <c r="P90" s="79">
        <v>-690.24</v>
      </c>
      <c r="Q90" s="79">
        <v>-125</v>
      </c>
      <c r="R90" s="79">
        <v>1375</v>
      </c>
      <c r="S90" s="79">
        <v>-125</v>
      </c>
      <c r="T90" s="79">
        <v>-125</v>
      </c>
      <c r="U90" s="79">
        <v>-125</v>
      </c>
      <c r="V90" s="79">
        <v>-125</v>
      </c>
      <c r="W90" s="79">
        <v>-125</v>
      </c>
      <c r="X90" s="79">
        <v>-125</v>
      </c>
      <c r="Y90" s="79">
        <v>-125</v>
      </c>
      <c r="Z90" s="79">
        <v>-125</v>
      </c>
      <c r="AA90" s="79">
        <v>-125</v>
      </c>
      <c r="AB90" s="79">
        <v>-125</v>
      </c>
      <c r="AC90" s="79">
        <v>-125</v>
      </c>
      <c r="AD90" s="79">
        <v>684.76</v>
      </c>
      <c r="AE90">
        <v>-125</v>
      </c>
      <c r="AF90">
        <v>-250</v>
      </c>
      <c r="AG90">
        <v>-375</v>
      </c>
      <c r="AH90">
        <v>-500</v>
      </c>
      <c r="AI90">
        <v>-625</v>
      </c>
      <c r="AJ90">
        <v>-750</v>
      </c>
      <c r="AK90">
        <v>-875</v>
      </c>
      <c r="AL90">
        <v>-1000</v>
      </c>
      <c r="AM90">
        <v>-1125</v>
      </c>
      <c r="AN90">
        <v>-1250</v>
      </c>
      <c r="AO90">
        <v>-1375</v>
      </c>
      <c r="AP90">
        <v>-1500</v>
      </c>
      <c r="AQ90">
        <v>-125</v>
      </c>
      <c r="AR90">
        <v>-125</v>
      </c>
      <c r="AS90">
        <v>-125</v>
      </c>
      <c r="AT90">
        <v>-125</v>
      </c>
      <c r="AU90">
        <v>-125</v>
      </c>
      <c r="AV90">
        <v>-125</v>
      </c>
      <c r="AW90">
        <v>-125</v>
      </c>
      <c r="AX90">
        <v>-125</v>
      </c>
      <c r="AY90">
        <v>-125</v>
      </c>
      <c r="AZ90">
        <v>-125</v>
      </c>
      <c r="BA90">
        <v>-125</v>
      </c>
      <c r="BB90">
        <v>-125</v>
      </c>
      <c r="BC90">
        <v>0</v>
      </c>
      <c r="BD90">
        <v>0</v>
      </c>
      <c r="BE90" s="79">
        <v>0</v>
      </c>
      <c r="BF90" s="79">
        <v>-424.26</v>
      </c>
      <c r="BG90" s="79">
        <v>-424.26</v>
      </c>
      <c r="BH90" s="79">
        <v>-424.26</v>
      </c>
      <c r="BI90" s="79">
        <v>-424.26</v>
      </c>
      <c r="BJ90" s="79">
        <v>-424.26</v>
      </c>
      <c r="BK90" s="79">
        <v>-424.26</v>
      </c>
      <c r="BL90" s="79">
        <v>-424.26</v>
      </c>
      <c r="BM90" s="79">
        <v>-424.26</v>
      </c>
      <c r="BN90" s="79">
        <v>-424.26</v>
      </c>
      <c r="BO90" s="79">
        <v>-424.26</v>
      </c>
      <c r="BP90" s="79">
        <v>-424.26</v>
      </c>
      <c r="BQ90" s="79">
        <v>-424.26</v>
      </c>
      <c r="BR90" s="79">
        <v>-424.26</v>
      </c>
      <c r="BS90" s="79">
        <v>0</v>
      </c>
      <c r="BT90" s="79">
        <v>0</v>
      </c>
      <c r="BU90" s="79">
        <v>0</v>
      </c>
      <c r="BV90" s="79">
        <v>0</v>
      </c>
      <c r="BW90" s="79">
        <v>0</v>
      </c>
      <c r="BX90" s="79">
        <v>0</v>
      </c>
      <c r="BY90" s="79">
        <v>0</v>
      </c>
      <c r="BZ90" s="79">
        <v>0</v>
      </c>
      <c r="CA90" s="79">
        <v>0</v>
      </c>
      <c r="CB90" s="79">
        <v>0</v>
      </c>
      <c r="CC90" s="79">
        <v>0</v>
      </c>
    </row>
    <row r="91" spans="2:81" x14ac:dyDescent="0.25">
      <c r="B91" s="84" t="s">
        <v>97</v>
      </c>
      <c r="C91" s="79">
        <v>-6161.18</v>
      </c>
      <c r="D91" s="79">
        <v>0</v>
      </c>
      <c r="E91" s="79">
        <v>-540.42999999999995</v>
      </c>
      <c r="F91" s="79">
        <v>-1080.8599999999999</v>
      </c>
      <c r="G91" s="79">
        <v>-1643.74</v>
      </c>
      <c r="H91" s="79">
        <v>-2208.42</v>
      </c>
      <c r="I91" s="79">
        <v>-2773.1</v>
      </c>
      <c r="J91" s="79">
        <v>-3337.78</v>
      </c>
      <c r="K91" s="79">
        <v>-3902.46</v>
      </c>
      <c r="L91" s="79">
        <v>-4467.1400000000003</v>
      </c>
      <c r="M91" s="79">
        <v>-5031.82</v>
      </c>
      <c r="N91" s="79">
        <v>-5596.5</v>
      </c>
      <c r="O91" s="79">
        <v>-6161.18</v>
      </c>
      <c r="P91" s="79">
        <v>-6654.08</v>
      </c>
      <c r="Q91" s="79">
        <v>-580.42999999999995</v>
      </c>
      <c r="R91" s="79">
        <v>5674.49</v>
      </c>
      <c r="S91" s="79">
        <v>-540.42999999999995</v>
      </c>
      <c r="T91" s="79">
        <v>-540.42999999999995</v>
      </c>
      <c r="U91" s="79">
        <v>-562.88</v>
      </c>
      <c r="V91" s="79">
        <v>-564.67999999999995</v>
      </c>
      <c r="W91" s="79">
        <v>-564.67999999999995</v>
      </c>
      <c r="X91" s="79">
        <v>-564.67999999999995</v>
      </c>
      <c r="Y91" s="79">
        <v>-564.67999999999995</v>
      </c>
      <c r="Z91" s="79">
        <v>-564.67999999999995</v>
      </c>
      <c r="AA91" s="79">
        <v>-564.67999999999995</v>
      </c>
      <c r="AB91" s="79">
        <v>-564.67999999999995</v>
      </c>
      <c r="AC91" s="79">
        <v>-564.67999999999995</v>
      </c>
      <c r="AD91" s="79">
        <v>-492.9</v>
      </c>
      <c r="AE91">
        <v>-564.67999999999995</v>
      </c>
      <c r="AF91">
        <v>-1129.3599999999999</v>
      </c>
      <c r="AG91">
        <v>-1719.99</v>
      </c>
      <c r="AH91">
        <v>-2304.3200000000002</v>
      </c>
      <c r="AI91">
        <v>-2726.35</v>
      </c>
      <c r="AJ91">
        <v>-3148.38</v>
      </c>
      <c r="AK91">
        <v>-3570.41</v>
      </c>
      <c r="AL91">
        <v>-3992.44</v>
      </c>
      <c r="AM91">
        <v>-4414.47</v>
      </c>
      <c r="AN91">
        <v>-4838.7299999999996</v>
      </c>
      <c r="AO91">
        <v>-5262.99</v>
      </c>
      <c r="AP91">
        <v>-5687.25</v>
      </c>
      <c r="AQ91">
        <v>-564.67999999999995</v>
      </c>
      <c r="AR91">
        <v>-564.67999999999995</v>
      </c>
      <c r="AS91">
        <v>-590.63</v>
      </c>
      <c r="AT91">
        <v>-584.33000000000004</v>
      </c>
      <c r="AU91">
        <v>-422.03</v>
      </c>
      <c r="AV91">
        <v>-422.03</v>
      </c>
      <c r="AW91">
        <v>-422.03</v>
      </c>
      <c r="AX91">
        <v>-422.03</v>
      </c>
      <c r="AY91">
        <v>-422.03</v>
      </c>
      <c r="AZ91">
        <v>-424.26</v>
      </c>
      <c r="BA91">
        <v>-424.26</v>
      </c>
      <c r="BB91">
        <v>-424.26</v>
      </c>
      <c r="BC91">
        <v>0</v>
      </c>
      <c r="BD91">
        <v>0</v>
      </c>
      <c r="BE91" s="79">
        <v>0</v>
      </c>
      <c r="BF91" s="79">
        <v>-10241.5</v>
      </c>
      <c r="BG91" s="79">
        <v>-10241.5</v>
      </c>
      <c r="BH91" s="79">
        <v>-10241.5</v>
      </c>
      <c r="BI91" s="79">
        <v>-10241.5</v>
      </c>
      <c r="BJ91" s="79">
        <v>-10241.5</v>
      </c>
      <c r="BK91" s="79">
        <v>-10241.5</v>
      </c>
      <c r="BL91" s="79">
        <v>-10241.5</v>
      </c>
      <c r="BM91" s="79">
        <v>-10241.5</v>
      </c>
      <c r="BN91" s="79">
        <v>-10241.5</v>
      </c>
      <c r="BO91" s="79">
        <v>-10241.5</v>
      </c>
      <c r="BP91" s="79">
        <v>-10241.5</v>
      </c>
      <c r="BQ91" s="79">
        <v>-10241.5</v>
      </c>
      <c r="BR91" s="79">
        <v>-10924.74</v>
      </c>
      <c r="BS91" s="79">
        <v>0</v>
      </c>
      <c r="BT91" s="79">
        <v>0</v>
      </c>
      <c r="BU91" s="79">
        <v>0</v>
      </c>
      <c r="BV91" s="79">
        <v>0</v>
      </c>
      <c r="BW91" s="79">
        <v>0</v>
      </c>
      <c r="BX91" s="79">
        <v>0</v>
      </c>
      <c r="BY91" s="79">
        <v>0</v>
      </c>
      <c r="BZ91" s="79">
        <v>0</v>
      </c>
      <c r="CA91" s="79">
        <v>0</v>
      </c>
      <c r="CB91" s="79">
        <v>0</v>
      </c>
      <c r="CC91" s="79">
        <v>0</v>
      </c>
    </row>
    <row r="92" spans="2:81" x14ac:dyDescent="0.25">
      <c r="B92" s="84" t="s">
        <v>96</v>
      </c>
      <c r="C92" s="79">
        <v>-9151.84</v>
      </c>
      <c r="D92" s="79">
        <v>0</v>
      </c>
      <c r="E92" s="79">
        <v>-677.44</v>
      </c>
      <c r="F92" s="79">
        <v>-1142.44</v>
      </c>
      <c r="G92" s="79">
        <v>-1681.44</v>
      </c>
      <c r="H92" s="79">
        <v>-2743.58</v>
      </c>
      <c r="I92" s="79">
        <v>-3372.58</v>
      </c>
      <c r="J92" s="79">
        <v>-4692.25</v>
      </c>
      <c r="K92" s="79">
        <v>-5929.39</v>
      </c>
      <c r="L92" s="79">
        <v>-6872.91</v>
      </c>
      <c r="M92" s="79">
        <v>-7689.5</v>
      </c>
      <c r="N92" s="79">
        <v>-8413.27</v>
      </c>
      <c r="O92" s="79">
        <v>-9151.84</v>
      </c>
      <c r="P92" s="79">
        <v>-11439.54</v>
      </c>
      <c r="Q92" s="79">
        <v>-1109.68</v>
      </c>
      <c r="R92" s="79">
        <v>8562.57</v>
      </c>
      <c r="S92" s="79">
        <v>-677.44</v>
      </c>
      <c r="T92" s="79">
        <v>-465</v>
      </c>
      <c r="U92" s="79">
        <v>-539</v>
      </c>
      <c r="V92" s="79">
        <v>-1062.1400000000001</v>
      </c>
      <c r="W92" s="79">
        <v>-629</v>
      </c>
      <c r="X92" s="79">
        <v>-1319.67</v>
      </c>
      <c r="Y92" s="79">
        <v>-1237.1400000000001</v>
      </c>
      <c r="Z92" s="79">
        <v>-943.52</v>
      </c>
      <c r="AA92" s="79">
        <v>-816.59</v>
      </c>
      <c r="AB92" s="79">
        <v>-723.77</v>
      </c>
      <c r="AC92" s="79">
        <v>-738.57</v>
      </c>
      <c r="AD92" s="79">
        <v>-2287.6999999999998</v>
      </c>
      <c r="AE92">
        <v>-365</v>
      </c>
      <c r="AF92">
        <v>-3698.32</v>
      </c>
      <c r="AG92">
        <v>-4063.32</v>
      </c>
      <c r="AH92">
        <v>-4487.4399999999996</v>
      </c>
      <c r="AI92">
        <v>-5134.4399999999996</v>
      </c>
      <c r="AJ92">
        <v>-6206.4</v>
      </c>
      <c r="AK92">
        <v>-8071.89</v>
      </c>
      <c r="AL92">
        <v>-8646.84</v>
      </c>
      <c r="AM92">
        <v>-9107.82</v>
      </c>
      <c r="AN92">
        <v>-9646.82</v>
      </c>
      <c r="AO92">
        <v>-10243.02</v>
      </c>
      <c r="AP92">
        <v>-11470.46</v>
      </c>
      <c r="AQ92">
        <v>-365</v>
      </c>
      <c r="AR92">
        <v>-3333.32</v>
      </c>
      <c r="AS92">
        <v>-365</v>
      </c>
      <c r="AT92">
        <v>-424.12</v>
      </c>
      <c r="AU92">
        <v>-647</v>
      </c>
      <c r="AV92">
        <v>-1071.96</v>
      </c>
      <c r="AW92">
        <v>-1865.49</v>
      </c>
      <c r="AX92">
        <v>-574.95000000000005</v>
      </c>
      <c r="AY92">
        <v>-460.98</v>
      </c>
      <c r="AZ92">
        <v>-539</v>
      </c>
      <c r="BA92">
        <v>-596.20000000000005</v>
      </c>
      <c r="BB92">
        <v>-1227.44</v>
      </c>
      <c r="BC92">
        <v>0</v>
      </c>
      <c r="BD92">
        <v>0</v>
      </c>
      <c r="BE92" s="79">
        <v>0</v>
      </c>
      <c r="BF92" s="79">
        <v>-114.99</v>
      </c>
      <c r="BG92" s="79">
        <v>-114.99</v>
      </c>
      <c r="BH92" s="79">
        <v>-114.99</v>
      </c>
      <c r="BI92" s="79">
        <v>-114.99</v>
      </c>
      <c r="BJ92" s="79">
        <v>-114.99</v>
      </c>
      <c r="BK92" s="79">
        <v>-114.99</v>
      </c>
      <c r="BL92" s="79">
        <v>-114.99</v>
      </c>
      <c r="BM92" s="79">
        <v>-114.99</v>
      </c>
      <c r="BN92" s="79">
        <v>-114.99</v>
      </c>
      <c r="BO92" s="79">
        <v>-114.99</v>
      </c>
      <c r="BP92" s="79">
        <v>-114.99</v>
      </c>
      <c r="BQ92" s="79">
        <v>-114.99</v>
      </c>
      <c r="BR92" s="79">
        <v>-114.99</v>
      </c>
      <c r="BS92" s="79">
        <v>0</v>
      </c>
      <c r="BT92" s="79">
        <v>0</v>
      </c>
      <c r="BU92" s="79">
        <v>0</v>
      </c>
      <c r="BV92" s="79">
        <v>0</v>
      </c>
      <c r="BW92" s="79">
        <v>0</v>
      </c>
      <c r="BX92" s="79">
        <v>0</v>
      </c>
      <c r="BY92" s="79">
        <v>0</v>
      </c>
      <c r="BZ92" s="79">
        <v>0</v>
      </c>
      <c r="CA92" s="79">
        <v>0</v>
      </c>
      <c r="CB92" s="79">
        <v>0</v>
      </c>
      <c r="CC92" s="79">
        <v>0</v>
      </c>
    </row>
    <row r="93" spans="2:81" x14ac:dyDescent="0.25">
      <c r="B93" s="84" t="s">
        <v>95</v>
      </c>
      <c r="C93" s="79">
        <v>-1408.69</v>
      </c>
      <c r="D93" s="79">
        <v>0</v>
      </c>
      <c r="E93" s="79">
        <v>-346.37</v>
      </c>
      <c r="F93" s="79">
        <v>-442.15</v>
      </c>
      <c r="G93" s="79">
        <v>-447.35</v>
      </c>
      <c r="H93" s="79">
        <v>-453.75</v>
      </c>
      <c r="I93" s="79">
        <v>-848.93</v>
      </c>
      <c r="J93" s="79">
        <v>-856.08</v>
      </c>
      <c r="K93" s="79">
        <v>-878.48</v>
      </c>
      <c r="L93" s="79">
        <v>-1068.21</v>
      </c>
      <c r="M93" s="79">
        <v>-1166.4100000000001</v>
      </c>
      <c r="N93" s="79">
        <v>-1330.41</v>
      </c>
      <c r="O93" s="79">
        <v>-1408.69</v>
      </c>
      <c r="P93" s="79">
        <v>-1525.83</v>
      </c>
      <c r="Q93" s="79">
        <v>-86.28</v>
      </c>
      <c r="R93" s="79">
        <v>1084.8399999999999</v>
      </c>
      <c r="S93" s="79">
        <v>-346.37</v>
      </c>
      <c r="T93" s="79">
        <v>-95.78</v>
      </c>
      <c r="U93" s="79">
        <v>-5.2</v>
      </c>
      <c r="V93" s="79">
        <v>-6.4</v>
      </c>
      <c r="W93" s="79">
        <v>-395.18</v>
      </c>
      <c r="X93" s="79">
        <v>-7.15</v>
      </c>
      <c r="Y93" s="79">
        <v>-22.4</v>
      </c>
      <c r="Z93" s="79">
        <v>-189.73</v>
      </c>
      <c r="AA93" s="79">
        <v>-98.2</v>
      </c>
      <c r="AB93" s="79">
        <v>-164</v>
      </c>
      <c r="AC93" s="79">
        <v>-78.28</v>
      </c>
      <c r="AD93" s="79">
        <v>-117.14</v>
      </c>
      <c r="AE93">
        <v>-168.07</v>
      </c>
      <c r="AF93">
        <v>-232.61</v>
      </c>
      <c r="AG93">
        <v>-264.44</v>
      </c>
      <c r="AH93">
        <v>-270.89</v>
      </c>
      <c r="AI93">
        <v>-329.84</v>
      </c>
      <c r="AJ93">
        <v>-465.39</v>
      </c>
      <c r="AK93">
        <v>-565.39</v>
      </c>
      <c r="AL93">
        <v>-580.54999999999995</v>
      </c>
      <c r="AM93">
        <v>-669.4</v>
      </c>
      <c r="AN93">
        <v>-687.99</v>
      </c>
      <c r="AO93">
        <v>-894.44</v>
      </c>
      <c r="AP93">
        <v>-973.54</v>
      </c>
      <c r="AQ93">
        <v>-168.07</v>
      </c>
      <c r="AR93">
        <v>-64.540000000000006</v>
      </c>
      <c r="AS93">
        <v>-31.83</v>
      </c>
      <c r="AT93">
        <v>-6.45</v>
      </c>
      <c r="AU93">
        <v>-58.95</v>
      </c>
      <c r="AV93">
        <v>-135.55000000000001</v>
      </c>
      <c r="AW93">
        <v>-100</v>
      </c>
      <c r="AX93">
        <v>-15.16</v>
      </c>
      <c r="AY93">
        <v>-88.85</v>
      </c>
      <c r="AZ93">
        <v>-18.59</v>
      </c>
      <c r="BA93">
        <v>-206.45</v>
      </c>
      <c r="BB93">
        <v>-79.099999999999994</v>
      </c>
      <c r="BC93">
        <v>0</v>
      </c>
      <c r="BD93">
        <v>0</v>
      </c>
      <c r="BE93" s="79">
        <v>0</v>
      </c>
      <c r="BF93" s="79">
        <v>-2020</v>
      </c>
      <c r="BG93" s="79">
        <v>-2020</v>
      </c>
      <c r="BH93" s="79">
        <v>-2020</v>
      </c>
      <c r="BI93" s="79">
        <v>-2020</v>
      </c>
      <c r="BJ93" s="79">
        <v>-2020</v>
      </c>
      <c r="BK93" s="79">
        <v>-2020</v>
      </c>
      <c r="BL93" s="79">
        <v>-2020</v>
      </c>
      <c r="BM93" s="79">
        <v>-2020</v>
      </c>
      <c r="BN93" s="79">
        <v>-2020</v>
      </c>
      <c r="BO93" s="79">
        <v>-2020</v>
      </c>
      <c r="BP93" s="79">
        <v>-2020</v>
      </c>
      <c r="BQ93" s="79">
        <v>-2020</v>
      </c>
      <c r="BR93" s="79">
        <v>-2020</v>
      </c>
      <c r="BS93" s="79">
        <v>0</v>
      </c>
      <c r="BT93" s="79">
        <v>0</v>
      </c>
      <c r="BU93" s="79">
        <v>0</v>
      </c>
      <c r="BV93" s="79">
        <v>0</v>
      </c>
      <c r="BW93" s="79">
        <v>0</v>
      </c>
      <c r="BX93" s="79">
        <v>0</v>
      </c>
      <c r="BY93" s="79">
        <v>0</v>
      </c>
      <c r="BZ93" s="79">
        <v>0</v>
      </c>
      <c r="CA93" s="79">
        <v>0</v>
      </c>
      <c r="CB93" s="79">
        <v>0</v>
      </c>
      <c r="CC93" s="79">
        <v>0</v>
      </c>
    </row>
    <row r="94" spans="2:81" x14ac:dyDescent="0.25">
      <c r="B94" s="84" t="s">
        <v>121</v>
      </c>
      <c r="C94" s="79">
        <v>-22220</v>
      </c>
      <c r="D94" s="79">
        <v>0</v>
      </c>
      <c r="E94" s="79">
        <v>-2020</v>
      </c>
      <c r="F94" s="79">
        <v>-4040</v>
      </c>
      <c r="G94" s="79">
        <v>-6060</v>
      </c>
      <c r="H94" s="79">
        <v>-8080</v>
      </c>
      <c r="I94" s="79">
        <v>-10100</v>
      </c>
      <c r="J94" s="79">
        <v>-12120</v>
      </c>
      <c r="K94" s="79">
        <v>-14140</v>
      </c>
      <c r="L94" s="79">
        <v>-16160</v>
      </c>
      <c r="M94" s="79">
        <v>-18180</v>
      </c>
      <c r="N94" s="79">
        <v>-20200</v>
      </c>
      <c r="O94" s="79">
        <v>-22220</v>
      </c>
      <c r="P94" s="79">
        <v>-30152.54</v>
      </c>
      <c r="Q94" s="79">
        <v>-1975</v>
      </c>
      <c r="R94" s="79">
        <v>21725</v>
      </c>
      <c r="S94" s="79">
        <v>-2020</v>
      </c>
      <c r="T94" s="79">
        <v>-2020</v>
      </c>
      <c r="U94" s="79">
        <v>-2020</v>
      </c>
      <c r="V94" s="79">
        <v>-2020</v>
      </c>
      <c r="W94" s="79">
        <v>-2020</v>
      </c>
      <c r="X94" s="79">
        <v>-2020</v>
      </c>
      <c r="Y94" s="79">
        <v>-2020</v>
      </c>
      <c r="Z94" s="79">
        <v>-2020</v>
      </c>
      <c r="AA94" s="79">
        <v>-2020</v>
      </c>
      <c r="AB94" s="79">
        <v>-2020</v>
      </c>
      <c r="AC94" s="79">
        <v>-2020</v>
      </c>
      <c r="AD94" s="79">
        <v>-7932.54</v>
      </c>
      <c r="AE94">
        <v>-2020</v>
      </c>
      <c r="AF94">
        <v>-4040</v>
      </c>
      <c r="AG94">
        <v>-6060</v>
      </c>
      <c r="AH94">
        <v>-8080</v>
      </c>
      <c r="AI94">
        <v>-10100</v>
      </c>
      <c r="AJ94">
        <v>-12120</v>
      </c>
      <c r="AK94">
        <v>-14140</v>
      </c>
      <c r="AL94">
        <v>-16160</v>
      </c>
      <c r="AM94">
        <v>-18180</v>
      </c>
      <c r="AN94">
        <v>-20200</v>
      </c>
      <c r="AO94">
        <v>-22220</v>
      </c>
      <c r="AP94">
        <v>-24240</v>
      </c>
      <c r="AQ94">
        <v>-2020</v>
      </c>
      <c r="AR94">
        <v>-2020</v>
      </c>
      <c r="AS94">
        <v>-2020</v>
      </c>
      <c r="AT94">
        <v>-2020</v>
      </c>
      <c r="AU94">
        <v>-2020</v>
      </c>
      <c r="AV94">
        <v>-2020</v>
      </c>
      <c r="AW94">
        <v>-2020</v>
      </c>
      <c r="AX94">
        <v>-2020</v>
      </c>
      <c r="AY94">
        <v>-2020</v>
      </c>
      <c r="AZ94">
        <v>-2020</v>
      </c>
      <c r="BA94">
        <v>-2020</v>
      </c>
      <c r="BB94">
        <v>-2020</v>
      </c>
      <c r="BC94">
        <v>0</v>
      </c>
      <c r="BD94">
        <v>0</v>
      </c>
      <c r="BE94" s="79">
        <v>0</v>
      </c>
      <c r="BF94" s="79">
        <v>0</v>
      </c>
      <c r="BG94" s="79">
        <v>-80.2</v>
      </c>
      <c r="BH94" s="79">
        <v>-80.2</v>
      </c>
      <c r="BI94" s="79">
        <v>-80.2</v>
      </c>
      <c r="BJ94" s="79">
        <v>-80.2</v>
      </c>
      <c r="BK94" s="79">
        <v>-80.2</v>
      </c>
      <c r="BL94" s="79">
        <v>-80.2</v>
      </c>
      <c r="BM94" s="79">
        <v>-80.2</v>
      </c>
      <c r="BN94" s="79">
        <v>-80.2</v>
      </c>
      <c r="BO94" s="79">
        <v>-80.2</v>
      </c>
      <c r="BP94" s="79">
        <v>-80.2</v>
      </c>
      <c r="BQ94" s="79">
        <v>-80.2</v>
      </c>
      <c r="BR94" s="79">
        <v>0</v>
      </c>
      <c r="BS94" s="79">
        <v>-80.2</v>
      </c>
      <c r="BT94" s="79">
        <v>0</v>
      </c>
      <c r="BU94" s="79">
        <v>0</v>
      </c>
      <c r="BV94" s="79">
        <v>0</v>
      </c>
      <c r="BW94" s="79">
        <v>0</v>
      </c>
      <c r="BX94" s="79">
        <v>0</v>
      </c>
      <c r="BY94" s="79">
        <v>0</v>
      </c>
      <c r="BZ94" s="79">
        <v>0</v>
      </c>
      <c r="CA94" s="79">
        <v>0</v>
      </c>
      <c r="CB94" s="79">
        <v>0</v>
      </c>
      <c r="CC94" s="79">
        <v>0</v>
      </c>
    </row>
    <row r="95" spans="2:81" x14ac:dyDescent="0.25">
      <c r="B95" s="84" t="s">
        <v>94</v>
      </c>
      <c r="C95" s="79">
        <v>-5521.79</v>
      </c>
      <c r="D95" s="79">
        <v>0</v>
      </c>
      <c r="E95" s="79">
        <v>0</v>
      </c>
      <c r="F95" s="79">
        <v>-155</v>
      </c>
      <c r="G95" s="79">
        <v>-155</v>
      </c>
      <c r="H95" s="79">
        <v>-155</v>
      </c>
      <c r="I95" s="79">
        <v>-155</v>
      </c>
      <c r="J95" s="79">
        <v>-889.79</v>
      </c>
      <c r="K95" s="79">
        <v>-889.79</v>
      </c>
      <c r="L95" s="79">
        <v>-5521.79</v>
      </c>
      <c r="M95" s="79">
        <v>-5521.79</v>
      </c>
      <c r="N95" s="79">
        <v>-5521.79</v>
      </c>
      <c r="O95" s="79">
        <v>-5521.79</v>
      </c>
      <c r="P95" s="79">
        <v>-5521.79</v>
      </c>
      <c r="Q95" s="79">
        <v>0</v>
      </c>
      <c r="R95" s="79">
        <v>2915.66</v>
      </c>
      <c r="S95" s="79">
        <v>0</v>
      </c>
      <c r="T95">
        <v>-155</v>
      </c>
      <c r="U95">
        <v>0</v>
      </c>
      <c r="V95">
        <v>0</v>
      </c>
      <c r="W95">
        <v>0</v>
      </c>
      <c r="X95">
        <v>-734.79</v>
      </c>
      <c r="Y95">
        <v>0</v>
      </c>
      <c r="Z95">
        <v>-4632</v>
      </c>
      <c r="AA95">
        <v>0</v>
      </c>
      <c r="AB95">
        <v>0</v>
      </c>
      <c r="AC95">
        <v>0</v>
      </c>
      <c r="AD95">
        <v>0</v>
      </c>
      <c r="AE95">
        <v>-260</v>
      </c>
      <c r="AF95">
        <v>-260</v>
      </c>
      <c r="AG95">
        <v>-260</v>
      </c>
      <c r="AH95">
        <v>-260</v>
      </c>
      <c r="AI95">
        <v>-747.4</v>
      </c>
      <c r="AJ95">
        <v>-979.39</v>
      </c>
      <c r="AK95">
        <v>-1002.79</v>
      </c>
      <c r="AL95">
        <v>-1002.79</v>
      </c>
      <c r="AM95">
        <v>-1064.4000000000001</v>
      </c>
      <c r="AN95">
        <v>-1547.4</v>
      </c>
      <c r="AO95">
        <v>-1547.4</v>
      </c>
      <c r="AP95">
        <v>-1988.96</v>
      </c>
      <c r="AQ95">
        <v>-260</v>
      </c>
      <c r="AR95">
        <v>0</v>
      </c>
      <c r="AS95">
        <v>0</v>
      </c>
      <c r="AT95">
        <v>0</v>
      </c>
      <c r="AU95">
        <v>-487.4</v>
      </c>
      <c r="AV95">
        <v>-231.99</v>
      </c>
      <c r="AW95">
        <v>-23.4</v>
      </c>
      <c r="AX95">
        <v>0</v>
      </c>
      <c r="AY95">
        <v>-61.61</v>
      </c>
      <c r="AZ95">
        <v>-483</v>
      </c>
      <c r="BA95">
        <v>0</v>
      </c>
      <c r="BB95">
        <v>-441.56</v>
      </c>
      <c r="BC95">
        <v>0</v>
      </c>
      <c r="BD95">
        <v>0</v>
      </c>
      <c r="BE95" s="79">
        <v>0</v>
      </c>
      <c r="BF95" s="79">
        <v>-8781.69</v>
      </c>
      <c r="BG95" s="79">
        <v>-8781.69</v>
      </c>
      <c r="BH95" s="79">
        <v>-8781.69</v>
      </c>
      <c r="BI95" s="79">
        <v>-8781.69</v>
      </c>
      <c r="BJ95" s="79">
        <v>-8781.69</v>
      </c>
      <c r="BK95" s="79">
        <v>-8781.69</v>
      </c>
      <c r="BL95" s="79">
        <v>-8781.69</v>
      </c>
      <c r="BM95" s="79">
        <v>-8781.69</v>
      </c>
      <c r="BN95" s="79">
        <v>-8781.69</v>
      </c>
      <c r="BO95" s="79">
        <v>-8781.69</v>
      </c>
      <c r="BP95" s="79">
        <v>-8781.69</v>
      </c>
      <c r="BQ95" s="79">
        <v>-8781.69</v>
      </c>
      <c r="BR95" s="79">
        <v>-8781.69</v>
      </c>
      <c r="BS95" s="79">
        <v>0</v>
      </c>
      <c r="BT95" s="79">
        <v>0</v>
      </c>
      <c r="BU95" s="79">
        <v>0</v>
      </c>
      <c r="BV95" s="79">
        <v>0</v>
      </c>
      <c r="BW95" s="79">
        <v>0</v>
      </c>
      <c r="BX95" s="79">
        <v>0</v>
      </c>
      <c r="BY95" s="79">
        <v>0</v>
      </c>
      <c r="BZ95" s="79">
        <v>0</v>
      </c>
      <c r="CA95" s="79">
        <v>0</v>
      </c>
      <c r="CB95" s="79">
        <v>0</v>
      </c>
      <c r="CC95" s="79">
        <v>0</v>
      </c>
    </row>
    <row r="96" spans="2:81" x14ac:dyDescent="0.25">
      <c r="B96" s="84" t="s">
        <v>93</v>
      </c>
      <c r="C96" s="79">
        <v>-92780.33</v>
      </c>
      <c r="D96" s="79">
        <v>0</v>
      </c>
      <c r="E96" s="79">
        <v>-8296.18</v>
      </c>
      <c r="F96" s="79">
        <v>-13255.32</v>
      </c>
      <c r="G96" s="79">
        <v>-21542.400000000001</v>
      </c>
      <c r="H96" s="79">
        <v>-29829.48</v>
      </c>
      <c r="I96" s="79">
        <v>-38116.559999999998</v>
      </c>
      <c r="J96" s="79">
        <v>-46403.64</v>
      </c>
      <c r="K96" s="79">
        <v>-56494</v>
      </c>
      <c r="L96" s="79">
        <v>-65281.08</v>
      </c>
      <c r="M96" s="79">
        <v>-74068.160000000003</v>
      </c>
      <c r="N96" s="79">
        <v>-82855.240000000005</v>
      </c>
      <c r="O96" s="79">
        <v>-92780.33</v>
      </c>
      <c r="P96" s="79">
        <v>-99554.26</v>
      </c>
      <c r="Q96" s="79">
        <v>-11710.19</v>
      </c>
      <c r="R96" s="79">
        <v>96858.08</v>
      </c>
      <c r="S96" s="79">
        <v>-8296.18</v>
      </c>
      <c r="T96">
        <v>-4959.1400000000003</v>
      </c>
      <c r="U96">
        <v>-8287.08</v>
      </c>
      <c r="V96">
        <v>-8287.08</v>
      </c>
      <c r="W96">
        <v>-8287.08</v>
      </c>
      <c r="X96">
        <v>-8287.08</v>
      </c>
      <c r="Y96">
        <v>-10090.36</v>
      </c>
      <c r="Z96">
        <v>-8787.08</v>
      </c>
      <c r="AA96">
        <v>-8787.08</v>
      </c>
      <c r="AB96">
        <v>-8787.08</v>
      </c>
      <c r="AC96">
        <v>-9925.09</v>
      </c>
      <c r="AD96">
        <v>-6773.93</v>
      </c>
      <c r="AE96">
        <v>-8787.08</v>
      </c>
      <c r="AF96">
        <v>-17574.16</v>
      </c>
      <c r="AG96">
        <v>-26354.05</v>
      </c>
      <c r="AH96">
        <v>-35135.74</v>
      </c>
      <c r="AI96">
        <v>-43917.43</v>
      </c>
      <c r="AJ96">
        <v>-52699.12</v>
      </c>
      <c r="AK96">
        <v>-63480.81</v>
      </c>
      <c r="AL96">
        <v>-72262.5</v>
      </c>
      <c r="AM96">
        <v>-81044.19</v>
      </c>
      <c r="AN96">
        <v>-89825.88</v>
      </c>
      <c r="AO96">
        <v>-99745.57</v>
      </c>
      <c r="AP96">
        <v>-108527.26</v>
      </c>
      <c r="AQ96">
        <v>-8787.08</v>
      </c>
      <c r="AR96">
        <v>-8787.08</v>
      </c>
      <c r="AS96">
        <v>-8779.89</v>
      </c>
      <c r="AT96">
        <v>-8781.69</v>
      </c>
      <c r="AU96">
        <v>-8781.69</v>
      </c>
      <c r="AV96">
        <v>-8781.69</v>
      </c>
      <c r="AW96">
        <v>-10781.69</v>
      </c>
      <c r="AX96">
        <v>-8781.69</v>
      </c>
      <c r="AY96">
        <v>-8781.69</v>
      </c>
      <c r="AZ96">
        <v>-8781.69</v>
      </c>
      <c r="BA96">
        <v>-9919.69</v>
      </c>
      <c r="BB96">
        <v>-8781.69</v>
      </c>
      <c r="BC96">
        <v>0</v>
      </c>
      <c r="BD96">
        <v>0</v>
      </c>
      <c r="BE96" s="79">
        <v>0</v>
      </c>
      <c r="BF96" s="79">
        <v>-3300</v>
      </c>
      <c r="BG96" s="79">
        <v>-3300</v>
      </c>
      <c r="BH96" s="79">
        <v>-3300</v>
      </c>
      <c r="BI96" s="79">
        <v>-3300</v>
      </c>
      <c r="BJ96" s="79">
        <v>-3300</v>
      </c>
      <c r="BK96" s="79">
        <v>-3300</v>
      </c>
      <c r="BL96" s="79">
        <v>-3300</v>
      </c>
      <c r="BM96" s="79">
        <v>-3300</v>
      </c>
      <c r="BN96" s="79">
        <v>-3300</v>
      </c>
      <c r="BO96" s="79">
        <v>-3300</v>
      </c>
      <c r="BP96" s="79">
        <v>-3300</v>
      </c>
      <c r="BQ96" s="79">
        <v>-3300</v>
      </c>
      <c r="BR96" s="79">
        <v>-3300</v>
      </c>
      <c r="BS96" s="79">
        <v>0</v>
      </c>
      <c r="BT96" s="79">
        <v>0</v>
      </c>
      <c r="BU96" s="79">
        <v>0</v>
      </c>
      <c r="BV96" s="79">
        <v>0</v>
      </c>
      <c r="BW96" s="79">
        <v>0</v>
      </c>
      <c r="BX96" s="79">
        <v>0</v>
      </c>
      <c r="BY96" s="79">
        <v>0</v>
      </c>
      <c r="BZ96" s="79">
        <v>0</v>
      </c>
      <c r="CA96" s="79">
        <v>0</v>
      </c>
      <c r="CB96" s="79">
        <v>0</v>
      </c>
      <c r="CC96" s="79">
        <v>0</v>
      </c>
    </row>
    <row r="97" spans="2:81" x14ac:dyDescent="0.25">
      <c r="B97" s="84" t="s">
        <v>92</v>
      </c>
      <c r="C97" s="79">
        <v>-36000</v>
      </c>
      <c r="D97" s="79">
        <v>0</v>
      </c>
      <c r="E97" s="79">
        <v>-3000</v>
      </c>
      <c r="F97" s="79">
        <v>-9000</v>
      </c>
      <c r="G97" s="79">
        <v>-12000</v>
      </c>
      <c r="H97" s="79">
        <v>-15000</v>
      </c>
      <c r="I97" s="79">
        <v>-18000</v>
      </c>
      <c r="J97" s="79">
        <v>-21000</v>
      </c>
      <c r="K97" s="79">
        <v>-24000</v>
      </c>
      <c r="L97" s="79">
        <v>-27000</v>
      </c>
      <c r="M97" s="79">
        <v>-30000</v>
      </c>
      <c r="N97" s="79">
        <v>-33000</v>
      </c>
      <c r="O97" s="79">
        <v>-36000</v>
      </c>
      <c r="P97" s="79">
        <v>-39000</v>
      </c>
      <c r="Q97" s="79">
        <v>-3500</v>
      </c>
      <c r="R97" s="79">
        <v>33500</v>
      </c>
      <c r="S97" s="79">
        <v>-3000</v>
      </c>
      <c r="T97">
        <v>-6000</v>
      </c>
      <c r="U97">
        <v>-3000</v>
      </c>
      <c r="V97">
        <v>-3000</v>
      </c>
      <c r="W97">
        <v>-3000</v>
      </c>
      <c r="X97">
        <v>-3000</v>
      </c>
      <c r="Y97">
        <v>-3000</v>
      </c>
      <c r="Z97">
        <v>-3000</v>
      </c>
      <c r="AA97">
        <v>-3000</v>
      </c>
      <c r="AB97">
        <v>-3000</v>
      </c>
      <c r="AC97">
        <v>-3000</v>
      </c>
      <c r="AD97">
        <v>-3000</v>
      </c>
      <c r="AE97">
        <v>-3000</v>
      </c>
      <c r="AF97">
        <v>-6000</v>
      </c>
      <c r="AG97">
        <v>-9000</v>
      </c>
      <c r="AH97">
        <v>-12000</v>
      </c>
      <c r="AI97">
        <v>-15000</v>
      </c>
      <c r="AJ97">
        <v>-18300</v>
      </c>
      <c r="AK97">
        <v>-21600</v>
      </c>
      <c r="AL97">
        <v>-24900</v>
      </c>
      <c r="AM97">
        <v>-28200</v>
      </c>
      <c r="AN97">
        <v>-31500</v>
      </c>
      <c r="AO97">
        <v>-35800</v>
      </c>
      <c r="AP97">
        <v>-39100</v>
      </c>
      <c r="AQ97">
        <v>-3000</v>
      </c>
      <c r="AR97">
        <v>-3000</v>
      </c>
      <c r="AS97">
        <v>-3000</v>
      </c>
      <c r="AT97">
        <v>-3000</v>
      </c>
      <c r="AU97">
        <v>-3000</v>
      </c>
      <c r="AV97">
        <v>-3300</v>
      </c>
      <c r="AW97">
        <v>-3300</v>
      </c>
      <c r="AX97">
        <v>-3300</v>
      </c>
      <c r="AY97">
        <v>-3300</v>
      </c>
      <c r="AZ97">
        <v>-3300</v>
      </c>
      <c r="BA97">
        <v>-4300</v>
      </c>
      <c r="BB97">
        <v>-3300</v>
      </c>
      <c r="BC97">
        <v>0</v>
      </c>
      <c r="BD97">
        <v>0</v>
      </c>
      <c r="BE97" s="79">
        <v>0</v>
      </c>
      <c r="BF97" s="79">
        <v>-294.23</v>
      </c>
      <c r="BG97" s="79">
        <v>-294.23</v>
      </c>
      <c r="BH97" s="79">
        <v>-294.23</v>
      </c>
      <c r="BI97" s="79">
        <v>-294.23</v>
      </c>
      <c r="BJ97" s="79">
        <v>-294.23</v>
      </c>
      <c r="BK97" s="79">
        <v>-294.23</v>
      </c>
      <c r="BL97" s="79">
        <v>-294.23</v>
      </c>
      <c r="BM97" s="79">
        <v>-294.23</v>
      </c>
      <c r="BN97" s="79">
        <v>-294.23</v>
      </c>
      <c r="BO97" s="79">
        <v>-294.23</v>
      </c>
      <c r="BP97" s="79">
        <v>-294.23</v>
      </c>
      <c r="BQ97" s="79">
        <v>-294.23</v>
      </c>
      <c r="BR97" s="79">
        <v>-294.23</v>
      </c>
      <c r="BS97" s="79">
        <v>0</v>
      </c>
      <c r="BT97" s="79">
        <v>0</v>
      </c>
      <c r="BU97" s="79">
        <v>0</v>
      </c>
      <c r="BV97" s="79">
        <v>0</v>
      </c>
      <c r="BW97" s="79">
        <v>0</v>
      </c>
      <c r="BX97" s="79">
        <v>0</v>
      </c>
      <c r="BY97" s="79">
        <v>0</v>
      </c>
      <c r="BZ97" s="79">
        <v>0</v>
      </c>
      <c r="CA97" s="79">
        <v>0</v>
      </c>
      <c r="CB97" s="79">
        <v>0</v>
      </c>
      <c r="CC97" s="79">
        <v>0</v>
      </c>
    </row>
    <row r="98" spans="2:81" x14ac:dyDescent="0.25">
      <c r="B98" s="84" t="s">
        <v>91</v>
      </c>
      <c r="C98" s="79">
        <v>-2403.63</v>
      </c>
      <c r="D98" s="79">
        <v>0</v>
      </c>
      <c r="E98" s="79">
        <v>-405.18</v>
      </c>
      <c r="F98" s="79">
        <v>-635.44000000000005</v>
      </c>
      <c r="G98" s="79">
        <v>-642.94000000000005</v>
      </c>
      <c r="H98" s="79">
        <v>-642.94000000000005</v>
      </c>
      <c r="I98" s="79">
        <v>-956.83</v>
      </c>
      <c r="J98" s="79">
        <v>-1320.03</v>
      </c>
      <c r="K98" s="79">
        <v>-1320.03</v>
      </c>
      <c r="L98" s="79">
        <v>-1434.93</v>
      </c>
      <c r="M98" s="79">
        <v>-1748.61</v>
      </c>
      <c r="N98" s="79">
        <v>-2076.92</v>
      </c>
      <c r="O98" s="79">
        <v>-2403.63</v>
      </c>
      <c r="P98" s="79">
        <v>-2403.63</v>
      </c>
      <c r="Q98" s="79">
        <v>-179.84</v>
      </c>
      <c r="R98" s="79">
        <v>2846.74</v>
      </c>
      <c r="S98" s="79">
        <v>-405.18</v>
      </c>
      <c r="T98">
        <v>-230.26</v>
      </c>
      <c r="U98">
        <v>-7.5</v>
      </c>
      <c r="V98">
        <v>0</v>
      </c>
      <c r="W98">
        <v>-313.89</v>
      </c>
      <c r="X98">
        <v>-363.2</v>
      </c>
      <c r="Y98">
        <v>0</v>
      </c>
      <c r="Z98">
        <v>-114.9</v>
      </c>
      <c r="AA98">
        <v>-313.68</v>
      </c>
      <c r="AB98">
        <v>-328.31</v>
      </c>
      <c r="AC98">
        <v>-326.70999999999998</v>
      </c>
      <c r="AD98">
        <v>0</v>
      </c>
      <c r="AE98">
        <v>-215.1</v>
      </c>
      <c r="AF98">
        <v>-818.66</v>
      </c>
      <c r="AG98">
        <v>-853.28</v>
      </c>
      <c r="AH98">
        <v>-927.82</v>
      </c>
      <c r="AI98">
        <v>-1906.79</v>
      </c>
      <c r="AJ98">
        <v>-2092.16</v>
      </c>
      <c r="AK98">
        <v>-2209.87</v>
      </c>
      <c r="AL98">
        <v>-2432.0700000000002</v>
      </c>
      <c r="AM98">
        <v>-2490.06</v>
      </c>
      <c r="AN98">
        <v>-2728.12</v>
      </c>
      <c r="AO98">
        <v>-2769.57</v>
      </c>
      <c r="AP98">
        <v>-2769.57</v>
      </c>
      <c r="AQ98">
        <v>-215.1</v>
      </c>
      <c r="AR98">
        <v>-603.55999999999995</v>
      </c>
      <c r="AS98">
        <v>-34.619999999999997</v>
      </c>
      <c r="AT98">
        <v>-74.540000000000006</v>
      </c>
      <c r="AU98">
        <v>-978.97</v>
      </c>
      <c r="AV98">
        <v>-185.37</v>
      </c>
      <c r="AW98">
        <v>-117.71</v>
      </c>
      <c r="AX98">
        <v>-222.2</v>
      </c>
      <c r="AY98">
        <v>-57.99</v>
      </c>
      <c r="AZ98">
        <v>-238.06</v>
      </c>
      <c r="BA98">
        <v>-41.45</v>
      </c>
      <c r="BB98">
        <v>0</v>
      </c>
      <c r="BC98">
        <v>0</v>
      </c>
      <c r="BD98">
        <v>0</v>
      </c>
      <c r="BE98" s="79">
        <v>0</v>
      </c>
      <c r="BF98" s="79">
        <v>-700</v>
      </c>
      <c r="BG98" s="79">
        <v>-700</v>
      </c>
      <c r="BH98" s="79">
        <v>-700</v>
      </c>
      <c r="BI98" s="79">
        <v>-700</v>
      </c>
      <c r="BJ98" s="79">
        <v>-700</v>
      </c>
      <c r="BK98" s="79">
        <v>-700</v>
      </c>
      <c r="BL98" s="79">
        <v>-700</v>
      </c>
      <c r="BM98" s="79">
        <v>-700</v>
      </c>
      <c r="BN98" s="79">
        <v>-700</v>
      </c>
      <c r="BO98" s="79">
        <v>-700</v>
      </c>
      <c r="BP98" s="79">
        <v>-700</v>
      </c>
      <c r="BQ98" s="79">
        <v>-700</v>
      </c>
      <c r="BR98" s="79">
        <v>-700</v>
      </c>
      <c r="BS98" s="79">
        <v>0</v>
      </c>
      <c r="BT98" s="79">
        <v>0</v>
      </c>
      <c r="BU98" s="79">
        <v>0</v>
      </c>
      <c r="BV98" s="79">
        <v>0</v>
      </c>
      <c r="BW98" s="79">
        <v>0</v>
      </c>
      <c r="BX98" s="79">
        <v>0</v>
      </c>
      <c r="BY98" s="79">
        <v>0</v>
      </c>
      <c r="BZ98" s="79">
        <v>0</v>
      </c>
      <c r="CA98" s="79">
        <v>0</v>
      </c>
      <c r="CB98" s="79">
        <v>0</v>
      </c>
      <c r="CC98" s="79">
        <v>0</v>
      </c>
    </row>
    <row r="99" spans="2:81" x14ac:dyDescent="0.25">
      <c r="B99" s="84" t="s">
        <v>90</v>
      </c>
      <c r="C99" s="79">
        <v>-7715.55</v>
      </c>
      <c r="D99" s="79">
        <v>0</v>
      </c>
      <c r="E99" s="79">
        <v>-700</v>
      </c>
      <c r="F99" s="79">
        <v>-1400</v>
      </c>
      <c r="G99" s="79">
        <v>-2100</v>
      </c>
      <c r="H99" s="79">
        <v>-2800</v>
      </c>
      <c r="I99" s="79">
        <v>-3500</v>
      </c>
      <c r="J99" s="79">
        <v>-4200</v>
      </c>
      <c r="K99" s="79">
        <v>-4900</v>
      </c>
      <c r="L99" s="79">
        <v>-5600</v>
      </c>
      <c r="M99" s="79">
        <v>-6315.55</v>
      </c>
      <c r="N99" s="79">
        <v>-7015.55</v>
      </c>
      <c r="O99" s="79">
        <v>-7715.55</v>
      </c>
      <c r="P99" s="79">
        <v>-6991.81</v>
      </c>
      <c r="Q99" s="79">
        <v>-660</v>
      </c>
      <c r="R99" s="79">
        <v>7260</v>
      </c>
      <c r="S99" s="79">
        <v>-700</v>
      </c>
      <c r="T99">
        <v>-700</v>
      </c>
      <c r="U99">
        <v>-700</v>
      </c>
      <c r="V99">
        <v>-700</v>
      </c>
      <c r="W99">
        <v>-700</v>
      </c>
      <c r="X99">
        <v>-700</v>
      </c>
      <c r="Y99">
        <v>-700</v>
      </c>
      <c r="Z99">
        <v>-700</v>
      </c>
      <c r="AA99">
        <v>-715.55</v>
      </c>
      <c r="AB99">
        <v>-700</v>
      </c>
      <c r="AC99">
        <v>-700</v>
      </c>
      <c r="AD99">
        <v>723.74</v>
      </c>
      <c r="AE99">
        <v>-722.43</v>
      </c>
      <c r="AF99">
        <v>-1442.29</v>
      </c>
      <c r="AG99">
        <v>-2142.29</v>
      </c>
      <c r="AH99">
        <v>-2858.84</v>
      </c>
      <c r="AI99">
        <v>-3577.6</v>
      </c>
      <c r="AJ99">
        <v>-4277.6000000000004</v>
      </c>
      <c r="AK99">
        <v>-4977.6000000000004</v>
      </c>
      <c r="AL99">
        <v>-5710.25</v>
      </c>
      <c r="AM99">
        <v>-6410.25</v>
      </c>
      <c r="AN99">
        <v>-7266.54</v>
      </c>
      <c r="AO99">
        <v>-7966.54</v>
      </c>
      <c r="AP99">
        <v>-8666.5400000000009</v>
      </c>
      <c r="AQ99">
        <v>-722.43</v>
      </c>
      <c r="AR99">
        <v>-719.86</v>
      </c>
      <c r="AS99">
        <v>-700</v>
      </c>
      <c r="AT99">
        <v>-716.55</v>
      </c>
      <c r="AU99">
        <v>-718.76</v>
      </c>
      <c r="AV99">
        <v>-700</v>
      </c>
      <c r="AW99">
        <v>-700</v>
      </c>
      <c r="AX99">
        <v>-732.65</v>
      </c>
      <c r="AY99">
        <v>-700</v>
      </c>
      <c r="AZ99">
        <v>-856.29</v>
      </c>
      <c r="BA99">
        <v>-700</v>
      </c>
      <c r="BB99">
        <v>-700</v>
      </c>
      <c r="BC99">
        <v>0</v>
      </c>
      <c r="BD99">
        <v>0</v>
      </c>
      <c r="BE99" s="79">
        <v>0</v>
      </c>
      <c r="BF99" s="79">
        <v>-280.58</v>
      </c>
      <c r="BG99" s="79">
        <v>-334.24</v>
      </c>
      <c r="BH99" s="79">
        <v>-334.24</v>
      </c>
      <c r="BI99" s="79">
        <v>-334.24</v>
      </c>
      <c r="BJ99" s="79">
        <v>-334.24</v>
      </c>
      <c r="BK99" s="79">
        <v>-334.24</v>
      </c>
      <c r="BL99" s="79">
        <v>-334.24</v>
      </c>
      <c r="BM99" s="79">
        <v>-334.24</v>
      </c>
      <c r="BN99" s="79">
        <v>-334.24</v>
      </c>
      <c r="BO99" s="79">
        <v>-334.24</v>
      </c>
      <c r="BP99" s="79">
        <v>-334.24</v>
      </c>
      <c r="BQ99" s="79">
        <v>-334.24</v>
      </c>
      <c r="BR99" s="79">
        <v>-280.58</v>
      </c>
      <c r="BS99" s="79">
        <v>-53.66</v>
      </c>
      <c r="BT99" s="79">
        <v>0</v>
      </c>
      <c r="BU99" s="79">
        <v>0</v>
      </c>
      <c r="BV99" s="79">
        <v>0</v>
      </c>
      <c r="BW99" s="79">
        <v>0</v>
      </c>
      <c r="BX99" s="79">
        <v>0</v>
      </c>
      <c r="BY99" s="79">
        <v>0</v>
      </c>
      <c r="BZ99" s="79">
        <v>0</v>
      </c>
      <c r="CA99" s="79">
        <v>0</v>
      </c>
      <c r="CB99" s="79">
        <v>0</v>
      </c>
      <c r="CC99" s="79">
        <v>0</v>
      </c>
    </row>
    <row r="100" spans="2:81" x14ac:dyDescent="0.25">
      <c r="B100" s="84" t="s">
        <v>89</v>
      </c>
      <c r="C100">
        <v>-3491.98</v>
      </c>
      <c r="D100">
        <v>0</v>
      </c>
      <c r="E100">
        <v>-678.98</v>
      </c>
      <c r="F100">
        <v>-1070.3</v>
      </c>
      <c r="G100">
        <v>-1416.25</v>
      </c>
      <c r="H100">
        <v>-1632.2</v>
      </c>
      <c r="I100">
        <v>-1820.86</v>
      </c>
      <c r="J100">
        <v>-2034.85</v>
      </c>
      <c r="K100">
        <v>-2230.8000000000002</v>
      </c>
      <c r="L100">
        <v>-2461.75</v>
      </c>
      <c r="M100">
        <v>-3054.29</v>
      </c>
      <c r="N100">
        <v>-3250.24</v>
      </c>
      <c r="O100">
        <v>-3491.98</v>
      </c>
      <c r="P100">
        <v>571.91999999999996</v>
      </c>
      <c r="Q100">
        <v>-545.04999999999995</v>
      </c>
      <c r="R100">
        <v>5585.19</v>
      </c>
      <c r="S100">
        <v>-678.98</v>
      </c>
      <c r="T100">
        <v>-391.32</v>
      </c>
      <c r="U100">
        <v>-345.95</v>
      </c>
      <c r="V100">
        <v>-215.95</v>
      </c>
      <c r="W100">
        <v>-188.66</v>
      </c>
      <c r="X100">
        <v>-213.99</v>
      </c>
      <c r="Y100">
        <v>-195.95</v>
      </c>
      <c r="Z100">
        <v>-230.95</v>
      </c>
      <c r="AA100">
        <v>-592.54</v>
      </c>
      <c r="AB100">
        <v>-195.95</v>
      </c>
      <c r="AC100">
        <v>-241.74</v>
      </c>
      <c r="AD100">
        <v>4063.9</v>
      </c>
      <c r="AE100">
        <v>-195.95</v>
      </c>
      <c r="AF100">
        <v>-701.9</v>
      </c>
      <c r="AG100">
        <v>-877.9</v>
      </c>
      <c r="AH100">
        <v>-1167.6199999999999</v>
      </c>
      <c r="AI100">
        <v>-1757.62</v>
      </c>
      <c r="AJ100">
        <v>-1934.73</v>
      </c>
      <c r="AK100">
        <v>-3727.3</v>
      </c>
      <c r="AL100">
        <v>-4573.37</v>
      </c>
      <c r="AM100">
        <v>-6186.45</v>
      </c>
      <c r="AN100">
        <v>-6689.84</v>
      </c>
      <c r="AO100">
        <v>-6869.37</v>
      </c>
      <c r="AP100">
        <v>-7055.5</v>
      </c>
      <c r="AQ100">
        <v>-195.95</v>
      </c>
      <c r="AR100">
        <v>-505.95</v>
      </c>
      <c r="AS100">
        <v>-176</v>
      </c>
      <c r="AT100">
        <v>-289.72000000000003</v>
      </c>
      <c r="AU100">
        <v>-590</v>
      </c>
      <c r="AV100">
        <v>-177.11</v>
      </c>
      <c r="AW100">
        <v>-1792.57</v>
      </c>
      <c r="AX100">
        <v>-846.07</v>
      </c>
      <c r="AY100">
        <v>-1613.08</v>
      </c>
      <c r="AZ100">
        <v>-503.39</v>
      </c>
      <c r="BA100">
        <v>-179.53</v>
      </c>
      <c r="BB100">
        <v>-186.13</v>
      </c>
      <c r="BC100">
        <v>1.1368683772161603E-13</v>
      </c>
      <c r="BD100">
        <v>0</v>
      </c>
      <c r="BE100" s="79">
        <v>0</v>
      </c>
      <c r="BF100" s="79">
        <v>-150</v>
      </c>
      <c r="BG100" s="79">
        <v>-150</v>
      </c>
      <c r="BH100" s="79">
        <v>-150</v>
      </c>
      <c r="BI100" s="79">
        <v>-150</v>
      </c>
      <c r="BJ100" s="79">
        <v>-150</v>
      </c>
      <c r="BK100" s="79">
        <v>-150</v>
      </c>
      <c r="BL100" s="79">
        <v>-150</v>
      </c>
      <c r="BM100" s="79">
        <v>-150</v>
      </c>
      <c r="BN100" s="79">
        <v>-150</v>
      </c>
      <c r="BO100" s="79">
        <v>-150</v>
      </c>
      <c r="BP100" s="79">
        <v>-150</v>
      </c>
      <c r="BQ100" s="79">
        <v>-150</v>
      </c>
      <c r="BR100" s="79">
        <v>-150</v>
      </c>
      <c r="BS100" s="79">
        <v>0</v>
      </c>
      <c r="BT100" s="79">
        <v>0</v>
      </c>
      <c r="BU100" s="79">
        <v>0</v>
      </c>
      <c r="BV100" s="79">
        <v>0</v>
      </c>
      <c r="BW100" s="79">
        <v>0</v>
      </c>
      <c r="BX100" s="79">
        <v>0</v>
      </c>
      <c r="BY100" s="79">
        <v>0</v>
      </c>
      <c r="BZ100" s="79">
        <v>0</v>
      </c>
      <c r="CA100" s="79">
        <v>0</v>
      </c>
      <c r="CB100" s="79">
        <v>0</v>
      </c>
      <c r="CC100" s="79">
        <v>0</v>
      </c>
    </row>
    <row r="101" spans="2:81" x14ac:dyDescent="0.25">
      <c r="B101" s="84" t="s">
        <v>120</v>
      </c>
      <c r="C101">
        <v>-2108</v>
      </c>
      <c r="D101">
        <v>0</v>
      </c>
      <c r="E101">
        <v>0</v>
      </c>
      <c r="F101">
        <v>-933</v>
      </c>
      <c r="G101">
        <v>-933</v>
      </c>
      <c r="H101">
        <v>-933</v>
      </c>
      <c r="I101">
        <v>-933</v>
      </c>
      <c r="J101">
        <v>-1368</v>
      </c>
      <c r="K101">
        <v>-1368</v>
      </c>
      <c r="L101">
        <v>-1368</v>
      </c>
      <c r="M101">
        <v>-1368</v>
      </c>
      <c r="N101">
        <v>-2108</v>
      </c>
      <c r="O101">
        <v>-2108</v>
      </c>
      <c r="P101">
        <v>-2108</v>
      </c>
      <c r="Q101">
        <v>-75</v>
      </c>
      <c r="R101">
        <v>280</v>
      </c>
      <c r="S101">
        <v>0</v>
      </c>
      <c r="T101">
        <v>-933</v>
      </c>
      <c r="U101">
        <v>0</v>
      </c>
      <c r="V101">
        <v>0</v>
      </c>
      <c r="W101">
        <v>0</v>
      </c>
      <c r="X101">
        <v>-435</v>
      </c>
      <c r="Y101">
        <v>0</v>
      </c>
      <c r="Z101">
        <v>0</v>
      </c>
      <c r="AA101">
        <v>0</v>
      </c>
      <c r="AB101">
        <v>-740</v>
      </c>
      <c r="AC101">
        <v>0</v>
      </c>
      <c r="AD101">
        <v>0</v>
      </c>
      <c r="AE101">
        <v>0</v>
      </c>
      <c r="AF101">
        <v>-200</v>
      </c>
      <c r="AG101">
        <v>-200</v>
      </c>
      <c r="AH101">
        <v>-200</v>
      </c>
      <c r="AI101">
        <v>-200</v>
      </c>
      <c r="AJ101">
        <v>-955</v>
      </c>
      <c r="AK101">
        <v>-955</v>
      </c>
      <c r="AL101">
        <v>-955</v>
      </c>
      <c r="AM101">
        <v>-955</v>
      </c>
      <c r="AN101">
        <v>-955</v>
      </c>
      <c r="AO101">
        <v>-1235</v>
      </c>
      <c r="AP101">
        <v>-1385</v>
      </c>
      <c r="AQ101">
        <v>0</v>
      </c>
      <c r="AR101">
        <v>-200</v>
      </c>
      <c r="AS101">
        <v>0</v>
      </c>
      <c r="AT101">
        <v>0</v>
      </c>
      <c r="AU101">
        <v>0</v>
      </c>
      <c r="AV101">
        <v>-755</v>
      </c>
      <c r="AW101">
        <v>0</v>
      </c>
      <c r="AX101">
        <v>0</v>
      </c>
      <c r="AY101">
        <v>0</v>
      </c>
      <c r="AZ101">
        <v>0</v>
      </c>
      <c r="BA101">
        <v>-280</v>
      </c>
      <c r="BB101">
        <v>-150</v>
      </c>
      <c r="BC101">
        <v>0</v>
      </c>
      <c r="BD101">
        <v>0</v>
      </c>
      <c r="BE101" s="79">
        <v>0</v>
      </c>
      <c r="BF101" s="79">
        <v>-48.35</v>
      </c>
      <c r="BG101" s="79">
        <v>-48.35</v>
      </c>
      <c r="BH101" s="79">
        <v>-48.35</v>
      </c>
      <c r="BI101" s="79">
        <v>-48.35</v>
      </c>
      <c r="BJ101" s="79">
        <v>-48.35</v>
      </c>
      <c r="BK101" s="79">
        <v>-48.35</v>
      </c>
      <c r="BL101" s="79">
        <v>-48.35</v>
      </c>
      <c r="BM101" s="79">
        <v>-48.35</v>
      </c>
      <c r="BN101" s="79">
        <v>-48.35</v>
      </c>
      <c r="BO101" s="79">
        <v>-48.35</v>
      </c>
      <c r="BP101" s="79">
        <v>-48.35</v>
      </c>
      <c r="BQ101" s="79">
        <v>-48.35</v>
      </c>
      <c r="BR101" s="79">
        <v>-48.35</v>
      </c>
      <c r="BS101" s="79">
        <v>0</v>
      </c>
      <c r="BT101" s="79">
        <v>0</v>
      </c>
      <c r="BU101" s="79">
        <v>0</v>
      </c>
      <c r="BV101" s="79">
        <v>0</v>
      </c>
      <c r="BW101" s="79">
        <v>0</v>
      </c>
      <c r="BX101" s="79">
        <v>0</v>
      </c>
      <c r="BY101" s="79">
        <v>0</v>
      </c>
      <c r="BZ101" s="79">
        <v>0</v>
      </c>
      <c r="CA101" s="79">
        <v>0</v>
      </c>
      <c r="CB101" s="79">
        <v>0</v>
      </c>
      <c r="CC101" s="79">
        <v>0</v>
      </c>
    </row>
    <row r="102" spans="2:81" x14ac:dyDescent="0.25">
      <c r="B102" s="84" t="s">
        <v>88</v>
      </c>
      <c r="C102">
        <v>-4374.5</v>
      </c>
      <c r="D102">
        <v>0</v>
      </c>
      <c r="E102">
        <v>-311.91000000000003</v>
      </c>
      <c r="F102">
        <v>-493.16</v>
      </c>
      <c r="G102">
        <v>-1009.36</v>
      </c>
      <c r="H102">
        <v>-1511.57</v>
      </c>
      <c r="I102">
        <v>-2398.0700000000002</v>
      </c>
      <c r="J102">
        <v>-2948.71</v>
      </c>
      <c r="K102">
        <v>-3370.68</v>
      </c>
      <c r="L102">
        <v>-3945.55</v>
      </c>
      <c r="M102">
        <v>-4084.56</v>
      </c>
      <c r="N102">
        <v>-4130.1400000000003</v>
      </c>
      <c r="O102">
        <v>-4374.5</v>
      </c>
      <c r="P102">
        <v>-5256.96</v>
      </c>
      <c r="Q102">
        <v>-751.8</v>
      </c>
      <c r="R102">
        <v>4735.49</v>
      </c>
      <c r="S102">
        <v>-311.91000000000003</v>
      </c>
      <c r="T102">
        <v>-181.25</v>
      </c>
      <c r="U102">
        <v>-516.20000000000005</v>
      </c>
      <c r="V102">
        <v>-502.21</v>
      </c>
      <c r="W102">
        <v>-886.5</v>
      </c>
      <c r="X102">
        <v>-550.64</v>
      </c>
      <c r="Y102">
        <v>-421.97</v>
      </c>
      <c r="Z102">
        <v>-574.87</v>
      </c>
      <c r="AA102">
        <v>-139.01</v>
      </c>
      <c r="AB102">
        <v>-45.58</v>
      </c>
      <c r="AC102">
        <v>-244.36</v>
      </c>
      <c r="AD102">
        <v>-882.46</v>
      </c>
      <c r="AE102">
        <v>-324.89</v>
      </c>
      <c r="AF102">
        <v>-389.99</v>
      </c>
      <c r="AG102">
        <v>-389.99</v>
      </c>
      <c r="AH102">
        <v>-1258.8900000000001</v>
      </c>
      <c r="AI102">
        <v>-1258.8900000000001</v>
      </c>
      <c r="AJ102">
        <v>-1301.83</v>
      </c>
      <c r="AK102">
        <v>-1340.06</v>
      </c>
      <c r="AL102">
        <v>-1468.48</v>
      </c>
      <c r="AM102">
        <v>-1468.48</v>
      </c>
      <c r="AN102">
        <v>-1506.38</v>
      </c>
      <c r="AO102">
        <v>-1506.38</v>
      </c>
      <c r="AP102">
        <v>-2428.98</v>
      </c>
      <c r="AQ102">
        <v>-324.89</v>
      </c>
      <c r="AR102">
        <v>-65.099999999999994</v>
      </c>
      <c r="AS102">
        <v>0</v>
      </c>
      <c r="AT102">
        <v>-868.9</v>
      </c>
      <c r="AU102">
        <v>0</v>
      </c>
      <c r="AV102">
        <v>-42.94</v>
      </c>
      <c r="AW102">
        <v>-38.229999999999997</v>
      </c>
      <c r="AX102">
        <v>-128.41999999999999</v>
      </c>
      <c r="AY102">
        <v>0</v>
      </c>
      <c r="AZ102">
        <v>-37.9</v>
      </c>
      <c r="BA102">
        <v>0</v>
      </c>
      <c r="BB102">
        <v>-922.6</v>
      </c>
      <c r="BC102">
        <v>0</v>
      </c>
      <c r="BD102">
        <v>0</v>
      </c>
      <c r="BE102" s="79">
        <v>0</v>
      </c>
      <c r="BF102" s="79">
        <v>-173.91</v>
      </c>
      <c r="BG102" s="79">
        <v>-473.91</v>
      </c>
      <c r="BH102" s="79">
        <v>-473.91</v>
      </c>
      <c r="BI102" s="79">
        <v>-473.91</v>
      </c>
      <c r="BJ102" s="79">
        <v>-473.91</v>
      </c>
      <c r="BK102" s="79">
        <v>-473.91</v>
      </c>
      <c r="BL102" s="79">
        <v>-473.91</v>
      </c>
      <c r="BM102" s="79">
        <v>-473.91</v>
      </c>
      <c r="BN102" s="79">
        <v>-473.91</v>
      </c>
      <c r="BO102" s="79">
        <v>-473.91</v>
      </c>
      <c r="BP102" s="79">
        <v>-473.91</v>
      </c>
      <c r="BQ102" s="79">
        <v>-473.91</v>
      </c>
      <c r="BR102" s="79">
        <v>-173.91</v>
      </c>
      <c r="BS102" s="79">
        <v>-300</v>
      </c>
      <c r="BT102" s="79">
        <v>0</v>
      </c>
      <c r="BU102" s="79">
        <v>0</v>
      </c>
      <c r="BV102" s="79">
        <v>0</v>
      </c>
      <c r="BW102" s="79">
        <v>0</v>
      </c>
      <c r="BX102" s="79">
        <v>0</v>
      </c>
      <c r="BY102" s="79">
        <v>0</v>
      </c>
      <c r="BZ102" s="79">
        <v>0</v>
      </c>
      <c r="CA102" s="79">
        <v>0</v>
      </c>
      <c r="CB102" s="79">
        <v>0</v>
      </c>
      <c r="CC102" s="79">
        <v>0</v>
      </c>
    </row>
    <row r="103" spans="2:81" x14ac:dyDescent="0.25">
      <c r="B103" s="84" t="s">
        <v>87</v>
      </c>
      <c r="C103">
        <v>-9017.01</v>
      </c>
      <c r="D103">
        <v>0</v>
      </c>
      <c r="E103">
        <v>-860.04</v>
      </c>
      <c r="F103">
        <v>-1262.03</v>
      </c>
      <c r="G103">
        <v>-1697.04</v>
      </c>
      <c r="H103">
        <v>-2136.34</v>
      </c>
      <c r="I103">
        <v>-2534.11</v>
      </c>
      <c r="J103">
        <v>-4574.45</v>
      </c>
      <c r="K103">
        <v>-5938.08</v>
      </c>
      <c r="L103">
        <v>-7086.65</v>
      </c>
      <c r="M103">
        <v>-7562.67</v>
      </c>
      <c r="N103">
        <v>-8162.24</v>
      </c>
      <c r="O103">
        <v>-9017.01</v>
      </c>
      <c r="P103">
        <v>-10129.83</v>
      </c>
      <c r="Q103">
        <v>-457.8</v>
      </c>
      <c r="R103">
        <v>6316.68</v>
      </c>
      <c r="S103">
        <v>-860.04</v>
      </c>
      <c r="T103">
        <v>-401.99</v>
      </c>
      <c r="U103">
        <v>-435.01</v>
      </c>
      <c r="V103">
        <v>-439.3</v>
      </c>
      <c r="W103">
        <v>-397.77</v>
      </c>
      <c r="X103">
        <v>-2040.34</v>
      </c>
      <c r="Y103">
        <v>-1363.63</v>
      </c>
      <c r="Z103">
        <v>-1148.57</v>
      </c>
      <c r="AA103">
        <v>-476.02</v>
      </c>
      <c r="AB103">
        <v>-599.57000000000005</v>
      </c>
      <c r="AC103">
        <v>-854.77</v>
      </c>
      <c r="AD103">
        <v>-1112.82</v>
      </c>
      <c r="AE103">
        <v>-736.4</v>
      </c>
      <c r="AF103">
        <v>-1284.58</v>
      </c>
      <c r="AG103">
        <v>-1796.01</v>
      </c>
      <c r="AH103">
        <v>-2968.13</v>
      </c>
      <c r="AI103">
        <v>-3463.72</v>
      </c>
      <c r="AJ103">
        <v>-3879.57</v>
      </c>
      <c r="AK103">
        <v>-4297.53</v>
      </c>
      <c r="AL103">
        <v>-4653.5200000000004</v>
      </c>
      <c r="AM103">
        <v>-5161.8999999999996</v>
      </c>
      <c r="AN103">
        <v>-5795.26</v>
      </c>
      <c r="AO103">
        <v>-6157.89</v>
      </c>
      <c r="AP103">
        <v>-6667.89</v>
      </c>
      <c r="AQ103">
        <v>-736.4</v>
      </c>
      <c r="AR103">
        <v>-548.17999999999995</v>
      </c>
      <c r="AS103">
        <v>-511.43</v>
      </c>
      <c r="AT103">
        <v>-1172.1199999999999</v>
      </c>
      <c r="AU103">
        <v>-495.59</v>
      </c>
      <c r="AV103">
        <v>-415.85</v>
      </c>
      <c r="AW103">
        <v>-417.96</v>
      </c>
      <c r="AX103">
        <v>-355.99</v>
      </c>
      <c r="AY103">
        <v>-508.38</v>
      </c>
      <c r="AZ103">
        <v>-633.36</v>
      </c>
      <c r="BA103">
        <v>-362.63</v>
      </c>
      <c r="BB103">
        <v>-510</v>
      </c>
      <c r="BC103">
        <v>0</v>
      </c>
      <c r="BD103">
        <v>0</v>
      </c>
      <c r="BE103" s="79">
        <v>0</v>
      </c>
      <c r="BF103" s="79">
        <v>0</v>
      </c>
      <c r="BG103" s="79">
        <v>0</v>
      </c>
      <c r="BH103" s="79">
        <v>0</v>
      </c>
      <c r="BI103" s="79">
        <v>0</v>
      </c>
      <c r="BJ103" s="79">
        <v>0</v>
      </c>
      <c r="BK103" s="79">
        <v>0</v>
      </c>
      <c r="BL103" s="79">
        <v>0</v>
      </c>
      <c r="BM103" s="79">
        <v>0</v>
      </c>
      <c r="BN103" s="79">
        <v>0</v>
      </c>
      <c r="BO103" s="79">
        <v>0</v>
      </c>
      <c r="BP103" s="79">
        <v>0</v>
      </c>
      <c r="BQ103" s="79">
        <v>0</v>
      </c>
      <c r="BR103" s="79">
        <v>0</v>
      </c>
      <c r="BS103" s="79">
        <v>0</v>
      </c>
      <c r="BT103" s="79">
        <v>0</v>
      </c>
      <c r="BU103" s="79">
        <v>0</v>
      </c>
      <c r="BV103" s="79">
        <v>0</v>
      </c>
      <c r="BW103" s="79">
        <v>0</v>
      </c>
      <c r="BX103" s="79">
        <v>0</v>
      </c>
      <c r="BY103" s="79">
        <v>0</v>
      </c>
      <c r="BZ103" s="79">
        <v>0</v>
      </c>
      <c r="CA103" s="79">
        <v>0</v>
      </c>
      <c r="CB103" s="79">
        <v>0</v>
      </c>
      <c r="CC103" s="79">
        <v>0</v>
      </c>
    </row>
    <row r="104" spans="2:81" x14ac:dyDescent="0.25">
      <c r="B104" s="84" t="s">
        <v>236</v>
      </c>
      <c r="C104">
        <v>41746.370000000003</v>
      </c>
      <c r="D104">
        <v>41746.370000000003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41746.370000000003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1.2807532812075806E-11</v>
      </c>
      <c r="BD104">
        <v>0</v>
      </c>
      <c r="BE104" s="79">
        <v>0</v>
      </c>
      <c r="BF104" s="79">
        <v>0</v>
      </c>
      <c r="BG104" s="79">
        <v>0</v>
      </c>
      <c r="BH104" s="79">
        <v>0</v>
      </c>
      <c r="BI104" s="79">
        <v>0</v>
      </c>
      <c r="BJ104" s="79">
        <v>0</v>
      </c>
      <c r="BK104" s="79">
        <v>0</v>
      </c>
      <c r="BL104" s="79">
        <v>0</v>
      </c>
      <c r="BM104" s="79">
        <v>0</v>
      </c>
      <c r="BN104" s="79">
        <v>0</v>
      </c>
      <c r="BO104" s="79">
        <v>0</v>
      </c>
      <c r="BP104" s="79">
        <v>0</v>
      </c>
      <c r="BQ104" s="79">
        <v>0</v>
      </c>
      <c r="BR104" s="79">
        <v>0</v>
      </c>
      <c r="BS104" s="79">
        <v>0</v>
      </c>
      <c r="BT104" s="79">
        <v>0</v>
      </c>
      <c r="BU104" s="79">
        <v>0</v>
      </c>
      <c r="BV104" s="79">
        <v>0</v>
      </c>
      <c r="BW104" s="79">
        <v>0</v>
      </c>
      <c r="BX104" s="79">
        <v>0</v>
      </c>
      <c r="BY104" s="79">
        <v>0</v>
      </c>
      <c r="BZ104" s="79">
        <v>0</v>
      </c>
      <c r="CA104" s="79">
        <v>0</v>
      </c>
      <c r="CB104" s="79">
        <v>0</v>
      </c>
      <c r="CC104" s="79">
        <v>0</v>
      </c>
    </row>
    <row r="105" spans="2:81" x14ac:dyDescent="0.25">
      <c r="B105" s="84" t="s">
        <v>86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 s="79">
        <v>0</v>
      </c>
      <c r="BF105" s="79">
        <v>0</v>
      </c>
      <c r="BG105" s="79">
        <v>0</v>
      </c>
      <c r="BH105" s="79">
        <v>0</v>
      </c>
      <c r="BI105" s="79">
        <v>0</v>
      </c>
      <c r="BJ105" s="79">
        <v>0</v>
      </c>
      <c r="BK105" s="79">
        <v>0</v>
      </c>
      <c r="BL105" s="79">
        <v>0</v>
      </c>
      <c r="BM105" s="79">
        <v>0</v>
      </c>
      <c r="BN105" s="79">
        <v>0</v>
      </c>
      <c r="BO105" s="79">
        <v>0</v>
      </c>
      <c r="BP105" s="79">
        <v>0</v>
      </c>
      <c r="BQ105" s="79">
        <v>0</v>
      </c>
      <c r="BR105" s="79">
        <v>0</v>
      </c>
      <c r="BS105" s="79">
        <v>0</v>
      </c>
      <c r="BT105" s="79">
        <v>0</v>
      </c>
      <c r="BU105" s="79">
        <v>0</v>
      </c>
      <c r="BV105" s="79">
        <v>0</v>
      </c>
      <c r="BW105" s="79">
        <v>0</v>
      </c>
      <c r="BX105" s="79">
        <v>0</v>
      </c>
      <c r="BY105" s="79">
        <v>0</v>
      </c>
      <c r="BZ105" s="79">
        <v>0</v>
      </c>
      <c r="CA105" s="79">
        <v>0</v>
      </c>
      <c r="CB105" s="79">
        <v>0</v>
      </c>
      <c r="CC105" s="79">
        <v>0</v>
      </c>
    </row>
  </sheetData>
  <conditionalFormatting sqref="C6:BD6">
    <cfRule type="cellIs" dxfId="190" priority="7" operator="notBetween">
      <formula>-0.005</formula>
      <formula>0.005</formula>
    </cfRule>
    <cfRule type="cellIs" dxfId="189" priority="8" operator="between">
      <formula>-0.005</formula>
      <formula>0.005</formula>
    </cfRule>
  </conditionalFormatting>
  <conditionalFormatting sqref="BF6:CC6">
    <cfRule type="cellIs" dxfId="188" priority="3" operator="notBetween">
      <formula>-0.005</formula>
      <formula>0.005</formula>
    </cfRule>
    <cfRule type="cellIs" dxfId="187" priority="4" operator="between">
      <formula>-0.005</formula>
      <formula>0.005</formula>
    </cfRule>
  </conditionalFormatting>
  <conditionalFormatting sqref="BE6">
    <cfRule type="cellIs" dxfId="186" priority="1" operator="notBetween">
      <formula>-0.005</formula>
      <formula>0.005</formula>
    </cfRule>
    <cfRule type="cellIs" dxfId="185" priority="2" operator="between">
      <formula>-0.005</formula>
      <formula>0.005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100"/>
  <sheetViews>
    <sheetView topLeftCell="A2" zoomScaleNormal="100" workbookViewId="0">
      <pane xSplit="4" ySplit="3" topLeftCell="O42" activePane="bottomRight" state="frozen"/>
      <selection activeCell="A2" sqref="A2"/>
      <selection pane="topRight" activeCell="E2" sqref="E2"/>
      <selection pane="bottomLeft" activeCell="A5" sqref="A5"/>
      <selection pane="bottomRight" activeCell="A53" sqref="A53:XFD53"/>
    </sheetView>
  </sheetViews>
  <sheetFormatPr defaultRowHeight="15" x14ac:dyDescent="0.25"/>
  <cols>
    <col min="3" max="3" width="9.140625" style="79"/>
    <col min="31" max="31" width="9.140625" style="79"/>
  </cols>
  <sheetData>
    <row r="1" spans="1:65" x14ac:dyDescent="0.25">
      <c r="A1" t="s">
        <v>237</v>
      </c>
    </row>
    <row r="2" spans="1:65" s="79" customFormat="1" x14ac:dyDescent="0.25"/>
    <row r="3" spans="1:65" x14ac:dyDescent="0.25">
      <c r="D3" s="79" t="s">
        <v>239</v>
      </c>
      <c r="E3" s="60">
        <f t="shared" ref="E3:AJ3" si="0">SUM(E6:E100)</f>
        <v>5</v>
      </c>
      <c r="F3" s="60">
        <f t="shared" si="0"/>
        <v>5</v>
      </c>
      <c r="G3" s="60">
        <f t="shared" si="0"/>
        <v>2</v>
      </c>
      <c r="H3" s="60">
        <f t="shared" si="0"/>
        <v>1</v>
      </c>
      <c r="I3" s="60">
        <f t="shared" si="0"/>
        <v>2</v>
      </c>
      <c r="J3" s="60">
        <f t="shared" si="0"/>
        <v>3</v>
      </c>
      <c r="K3" s="60">
        <f t="shared" si="0"/>
        <v>9</v>
      </c>
      <c r="L3" s="60">
        <f t="shared" si="0"/>
        <v>4</v>
      </c>
      <c r="M3" s="60">
        <f t="shared" si="0"/>
        <v>1</v>
      </c>
      <c r="N3" s="60">
        <f t="shared" si="0"/>
        <v>2</v>
      </c>
      <c r="O3" s="60">
        <f t="shared" si="0"/>
        <v>2</v>
      </c>
      <c r="P3" s="60">
        <f t="shared" si="0"/>
        <v>1</v>
      </c>
      <c r="Q3" s="60">
        <f t="shared" si="0"/>
        <v>1</v>
      </c>
      <c r="R3" s="60">
        <f t="shared" si="0"/>
        <v>1</v>
      </c>
      <c r="S3" s="60">
        <f t="shared" si="0"/>
        <v>1</v>
      </c>
      <c r="T3" s="60">
        <f t="shared" si="0"/>
        <v>2</v>
      </c>
      <c r="U3" s="60">
        <f t="shared" si="0"/>
        <v>4</v>
      </c>
      <c r="V3" s="60">
        <f t="shared" si="0"/>
        <v>1</v>
      </c>
      <c r="W3" s="60">
        <f t="shared" si="0"/>
        <v>1</v>
      </c>
      <c r="X3" s="60">
        <f t="shared" si="0"/>
        <v>1</v>
      </c>
      <c r="Y3" s="60">
        <f t="shared" si="0"/>
        <v>1</v>
      </c>
      <c r="Z3" s="60">
        <f t="shared" si="0"/>
        <v>1</v>
      </c>
      <c r="AA3" s="60">
        <f t="shared" si="0"/>
        <v>1</v>
      </c>
      <c r="AB3" s="60">
        <f t="shared" si="0"/>
        <v>1</v>
      </c>
      <c r="AC3" s="60">
        <f t="shared" si="0"/>
        <v>1</v>
      </c>
      <c r="AD3" s="60">
        <f t="shared" si="0"/>
        <v>1</v>
      </c>
      <c r="AE3" s="60">
        <f t="shared" si="0"/>
        <v>1</v>
      </c>
      <c r="AF3" s="60">
        <f t="shared" si="0"/>
        <v>1</v>
      </c>
      <c r="AG3" s="60">
        <f t="shared" si="0"/>
        <v>1</v>
      </c>
      <c r="AH3" s="60">
        <f t="shared" si="0"/>
        <v>1</v>
      </c>
      <c r="AI3" s="60">
        <f t="shared" si="0"/>
        <v>1</v>
      </c>
      <c r="AJ3" s="60">
        <f t="shared" si="0"/>
        <v>1</v>
      </c>
      <c r="AK3" s="60">
        <f t="shared" ref="AK3:BM3" si="1">SUM(AK6:AK100)</f>
        <v>1</v>
      </c>
      <c r="AL3" s="60">
        <f t="shared" si="1"/>
        <v>1</v>
      </c>
      <c r="AM3" s="60">
        <f t="shared" si="1"/>
        <v>1</v>
      </c>
      <c r="AN3" s="60">
        <f t="shared" si="1"/>
        <v>1</v>
      </c>
      <c r="AO3" s="60">
        <f t="shared" si="1"/>
        <v>1</v>
      </c>
      <c r="AP3" s="60">
        <f t="shared" si="1"/>
        <v>1</v>
      </c>
      <c r="AQ3" s="60">
        <f t="shared" si="1"/>
        <v>1</v>
      </c>
      <c r="AR3" s="60">
        <f t="shared" si="1"/>
        <v>1</v>
      </c>
      <c r="AS3" s="60">
        <f t="shared" si="1"/>
        <v>1</v>
      </c>
      <c r="AT3" s="60">
        <f t="shared" si="1"/>
        <v>0</v>
      </c>
      <c r="AU3" s="60">
        <f t="shared" si="1"/>
        <v>2</v>
      </c>
      <c r="AV3" s="60">
        <f t="shared" si="1"/>
        <v>1</v>
      </c>
      <c r="AW3" s="60">
        <f t="shared" si="1"/>
        <v>2</v>
      </c>
      <c r="AX3" s="60">
        <f t="shared" si="1"/>
        <v>2</v>
      </c>
      <c r="AY3" s="60">
        <f t="shared" si="1"/>
        <v>1</v>
      </c>
      <c r="AZ3" s="60">
        <f t="shared" si="1"/>
        <v>1</v>
      </c>
      <c r="BA3" s="60">
        <f t="shared" si="1"/>
        <v>1</v>
      </c>
      <c r="BB3" s="60">
        <f t="shared" si="1"/>
        <v>1</v>
      </c>
      <c r="BC3" s="60">
        <f t="shared" si="1"/>
        <v>2</v>
      </c>
      <c r="BD3" s="60">
        <f t="shared" si="1"/>
        <v>1</v>
      </c>
      <c r="BE3" s="60">
        <f t="shared" si="1"/>
        <v>1</v>
      </c>
      <c r="BF3" s="60">
        <f t="shared" si="1"/>
        <v>1</v>
      </c>
      <c r="BG3" s="60">
        <f t="shared" si="1"/>
        <v>2</v>
      </c>
      <c r="BH3" s="60">
        <f t="shared" si="1"/>
        <v>1</v>
      </c>
      <c r="BI3" s="60">
        <f t="shared" si="1"/>
        <v>1</v>
      </c>
      <c r="BJ3" s="60">
        <f t="shared" si="1"/>
        <v>1</v>
      </c>
      <c r="BK3" s="60">
        <f t="shared" si="1"/>
        <v>1</v>
      </c>
      <c r="BL3" s="60">
        <f t="shared" si="1"/>
        <v>1</v>
      </c>
      <c r="BM3" s="60">
        <f t="shared" si="1"/>
        <v>2</v>
      </c>
    </row>
    <row r="4" spans="1:65" x14ac:dyDescent="0.25">
      <c r="A4" t="s">
        <v>238</v>
      </c>
      <c r="C4" s="79" t="s">
        <v>419</v>
      </c>
      <c r="E4" s="49">
        <v>10</v>
      </c>
      <c r="F4" s="49">
        <v>1001</v>
      </c>
      <c r="G4" s="49">
        <v>1100</v>
      </c>
      <c r="H4" s="49">
        <v>1102</v>
      </c>
      <c r="I4" s="49">
        <v>1103</v>
      </c>
      <c r="J4" s="49">
        <v>1115</v>
      </c>
      <c r="K4" s="49">
        <v>1200</v>
      </c>
      <c r="L4" s="49">
        <v>1202</v>
      </c>
      <c r="M4" s="49">
        <v>1203</v>
      </c>
      <c r="N4" s="49">
        <v>1204</v>
      </c>
      <c r="O4" s="49">
        <v>2100</v>
      </c>
      <c r="P4" s="49">
        <v>2103</v>
      </c>
      <c r="Q4" s="49">
        <v>2104</v>
      </c>
      <c r="R4" s="49">
        <v>2105</v>
      </c>
      <c r="S4" s="49">
        <v>2106</v>
      </c>
      <c r="T4" s="49">
        <v>2107</v>
      </c>
      <c r="U4" s="49">
        <v>2108</v>
      </c>
      <c r="V4" s="49">
        <v>2109</v>
      </c>
      <c r="W4" s="49">
        <v>2110</v>
      </c>
      <c r="X4" s="49">
        <v>2120</v>
      </c>
      <c r="Y4" s="49">
        <v>2125</v>
      </c>
      <c r="Z4" s="49">
        <v>2126</v>
      </c>
      <c r="AA4" s="79">
        <v>4000</v>
      </c>
      <c r="AB4" s="79">
        <v>4009</v>
      </c>
      <c r="AC4" s="79">
        <v>4905</v>
      </c>
      <c r="AD4" s="79">
        <v>5000</v>
      </c>
      <c r="AE4" s="79">
        <v>5001</v>
      </c>
      <c r="AF4" s="79">
        <v>6100</v>
      </c>
      <c r="AG4" s="79">
        <v>6200</v>
      </c>
      <c r="AH4" s="79">
        <v>6201</v>
      </c>
      <c r="AI4" s="79">
        <v>7000</v>
      </c>
      <c r="AJ4" s="79">
        <v>7006</v>
      </c>
      <c r="AK4" s="79">
        <v>7020</v>
      </c>
      <c r="AL4" s="79">
        <v>7100</v>
      </c>
      <c r="AM4" s="79">
        <v>7102</v>
      </c>
      <c r="AN4" s="79">
        <v>7103</v>
      </c>
      <c r="AO4" s="79">
        <v>7105</v>
      </c>
      <c r="AP4" s="79">
        <v>7200</v>
      </c>
      <c r="AQ4" s="79">
        <v>7202</v>
      </c>
      <c r="AR4" s="79">
        <v>7204</v>
      </c>
      <c r="AS4" s="79">
        <v>7206</v>
      </c>
      <c r="AT4" s="79">
        <v>7906</v>
      </c>
      <c r="AU4" s="79">
        <v>8100</v>
      </c>
      <c r="AV4" s="79">
        <v>8200</v>
      </c>
      <c r="AW4" s="79">
        <v>8201</v>
      </c>
      <c r="AX4" s="79">
        <v>8204</v>
      </c>
      <c r="AY4" s="79">
        <v>8300</v>
      </c>
      <c r="AZ4" s="79">
        <v>8310</v>
      </c>
      <c r="BA4" s="79">
        <v>8400</v>
      </c>
      <c r="BB4" s="79">
        <v>8402</v>
      </c>
      <c r="BC4" s="79">
        <v>8405</v>
      </c>
      <c r="BD4" s="79">
        <v>8408</v>
      </c>
      <c r="BE4" s="79">
        <v>8410</v>
      </c>
      <c r="BF4" s="79">
        <v>8414</v>
      </c>
      <c r="BG4" s="79">
        <v>8420</v>
      </c>
      <c r="BH4" s="79">
        <v>8424</v>
      </c>
      <c r="BI4" s="79">
        <v>8426</v>
      </c>
      <c r="BJ4" s="79">
        <v>8430</v>
      </c>
      <c r="BK4" s="79">
        <v>8433</v>
      </c>
      <c r="BL4" s="79">
        <v>8435</v>
      </c>
      <c r="BM4" s="79">
        <v>8440</v>
      </c>
    </row>
    <row r="5" spans="1:65" s="79" customFormat="1" x14ac:dyDescent="0.25">
      <c r="A5" s="60">
        <f>IF(B5=D5,0,1)</f>
        <v>0</v>
      </c>
      <c r="B5" s="58" t="str">
        <f>'TB Data'!B10</f>
        <v>0020</v>
      </c>
      <c r="C5" s="60">
        <f t="shared" ref="C5:C36" si="2">SUM(E5:BM5)</f>
        <v>1</v>
      </c>
      <c r="D5" s="84" t="s">
        <v>368</v>
      </c>
      <c r="E5" s="79">
        <v>1</v>
      </c>
      <c r="F5" s="79">
        <v>0</v>
      </c>
      <c r="G5" s="79">
        <v>0</v>
      </c>
      <c r="H5" s="79">
        <v>0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  <c r="O5" s="79">
        <v>0</v>
      </c>
      <c r="P5" s="79">
        <v>0</v>
      </c>
      <c r="Q5" s="79">
        <v>0</v>
      </c>
      <c r="R5" s="79">
        <v>0</v>
      </c>
      <c r="S5" s="79">
        <v>0</v>
      </c>
      <c r="T5" s="79">
        <v>0</v>
      </c>
      <c r="U5" s="79">
        <v>0</v>
      </c>
      <c r="V5" s="79">
        <v>0</v>
      </c>
      <c r="W5" s="79">
        <v>0</v>
      </c>
      <c r="X5" s="79">
        <v>0</v>
      </c>
      <c r="Y5" s="79">
        <v>0</v>
      </c>
      <c r="Z5" s="79">
        <v>0</v>
      </c>
      <c r="AA5" s="79">
        <v>0</v>
      </c>
      <c r="AB5" s="79">
        <v>0</v>
      </c>
      <c r="AC5" s="79">
        <v>0</v>
      </c>
      <c r="AD5" s="79">
        <v>0</v>
      </c>
      <c r="AE5" s="79">
        <v>0</v>
      </c>
      <c r="AF5" s="79">
        <v>0</v>
      </c>
      <c r="AG5" s="79">
        <v>0</v>
      </c>
      <c r="AH5" s="79">
        <v>0</v>
      </c>
      <c r="AI5" s="79">
        <v>0</v>
      </c>
      <c r="AJ5" s="79">
        <v>0</v>
      </c>
      <c r="AK5" s="79">
        <v>0</v>
      </c>
      <c r="AL5" s="79">
        <v>0</v>
      </c>
      <c r="AM5" s="79">
        <v>0</v>
      </c>
      <c r="AN5" s="79">
        <v>0</v>
      </c>
      <c r="AO5" s="79">
        <v>0</v>
      </c>
      <c r="AP5" s="79">
        <v>0</v>
      </c>
      <c r="AQ5" s="79">
        <v>0</v>
      </c>
      <c r="AR5" s="79">
        <v>0</v>
      </c>
      <c r="AS5" s="79">
        <v>0</v>
      </c>
      <c r="AT5" s="79">
        <v>0</v>
      </c>
      <c r="AU5" s="79">
        <v>0</v>
      </c>
      <c r="AV5" s="79">
        <v>0</v>
      </c>
      <c r="AW5" s="79">
        <v>0</v>
      </c>
      <c r="AX5" s="79">
        <v>0</v>
      </c>
      <c r="AY5" s="79">
        <v>0</v>
      </c>
      <c r="AZ5" s="79">
        <v>0</v>
      </c>
      <c r="BA5" s="79">
        <v>0</v>
      </c>
      <c r="BB5" s="79">
        <v>0</v>
      </c>
      <c r="BC5" s="79">
        <v>0</v>
      </c>
      <c r="BD5" s="79">
        <v>0</v>
      </c>
      <c r="BE5" s="79">
        <v>0</v>
      </c>
      <c r="BF5" s="79">
        <v>0</v>
      </c>
      <c r="BG5" s="79">
        <v>0</v>
      </c>
      <c r="BH5" s="79">
        <v>0</v>
      </c>
      <c r="BI5" s="79">
        <v>0</v>
      </c>
      <c r="BJ5" s="79">
        <v>0</v>
      </c>
      <c r="BK5" s="79">
        <v>0</v>
      </c>
      <c r="BL5" s="79">
        <v>0</v>
      </c>
      <c r="BM5" s="79">
        <v>0</v>
      </c>
    </row>
    <row r="6" spans="1:65" x14ac:dyDescent="0.25">
      <c r="A6" s="60">
        <f>IF(B6=D6,0,1)</f>
        <v>0</v>
      </c>
      <c r="B6" s="58" t="str">
        <f>'TB Data'!B11</f>
        <v>0021</v>
      </c>
      <c r="C6" s="60">
        <f t="shared" si="2"/>
        <v>1</v>
      </c>
      <c r="D6" s="84" t="s">
        <v>218</v>
      </c>
      <c r="E6" s="79">
        <v>1</v>
      </c>
      <c r="F6" s="79">
        <v>0</v>
      </c>
      <c r="G6" s="79">
        <v>0</v>
      </c>
      <c r="H6" s="79">
        <v>0</v>
      </c>
      <c r="I6" s="79">
        <v>0</v>
      </c>
      <c r="J6" s="79">
        <v>0</v>
      </c>
      <c r="K6" s="79">
        <v>0</v>
      </c>
      <c r="L6" s="79">
        <v>0</v>
      </c>
      <c r="M6" s="79">
        <v>0</v>
      </c>
      <c r="N6" s="79">
        <v>0</v>
      </c>
      <c r="O6" s="79">
        <v>0</v>
      </c>
      <c r="P6" s="79">
        <v>0</v>
      </c>
      <c r="Q6" s="79">
        <v>0</v>
      </c>
      <c r="R6" s="79">
        <v>0</v>
      </c>
      <c r="S6" s="79">
        <v>0</v>
      </c>
      <c r="T6" s="79">
        <v>0</v>
      </c>
      <c r="U6" s="79">
        <v>0</v>
      </c>
      <c r="V6" s="79">
        <v>0</v>
      </c>
      <c r="W6" s="79">
        <v>0</v>
      </c>
      <c r="X6" s="79">
        <v>0</v>
      </c>
      <c r="Y6" s="79">
        <v>0</v>
      </c>
      <c r="Z6" s="79">
        <v>0</v>
      </c>
      <c r="AA6" s="79">
        <v>0</v>
      </c>
      <c r="AB6" s="79">
        <v>0</v>
      </c>
      <c r="AC6" s="79">
        <v>0</v>
      </c>
      <c r="AD6" s="79">
        <v>0</v>
      </c>
      <c r="AE6" s="79">
        <v>0</v>
      </c>
      <c r="AF6" s="79">
        <v>0</v>
      </c>
      <c r="AG6" s="79">
        <v>0</v>
      </c>
      <c r="AH6" s="79">
        <v>0</v>
      </c>
      <c r="AI6" s="79">
        <v>0</v>
      </c>
      <c r="AJ6" s="79">
        <v>0</v>
      </c>
      <c r="AK6" s="79">
        <v>0</v>
      </c>
      <c r="AL6" s="79">
        <v>0</v>
      </c>
      <c r="AM6" s="79">
        <v>0</v>
      </c>
      <c r="AN6" s="79">
        <v>0</v>
      </c>
      <c r="AO6" s="79">
        <v>0</v>
      </c>
      <c r="AP6" s="79">
        <v>0</v>
      </c>
      <c r="AQ6" s="79">
        <v>0</v>
      </c>
      <c r="AR6" s="79">
        <v>0</v>
      </c>
      <c r="AS6" s="79">
        <v>0</v>
      </c>
      <c r="AT6" s="79">
        <v>0</v>
      </c>
      <c r="AU6" s="79">
        <v>0</v>
      </c>
      <c r="AV6" s="79">
        <v>0</v>
      </c>
      <c r="AW6" s="79">
        <v>0</v>
      </c>
      <c r="AX6" s="79">
        <v>0</v>
      </c>
      <c r="AY6" s="79">
        <v>0</v>
      </c>
      <c r="AZ6" s="79">
        <v>0</v>
      </c>
      <c r="BA6" s="79">
        <v>0</v>
      </c>
      <c r="BB6" s="79">
        <v>0</v>
      </c>
      <c r="BC6" s="79">
        <v>0</v>
      </c>
      <c r="BD6" s="79">
        <v>0</v>
      </c>
      <c r="BE6" s="79">
        <v>0</v>
      </c>
      <c r="BF6" s="79">
        <v>0</v>
      </c>
      <c r="BG6" s="79">
        <v>0</v>
      </c>
      <c r="BH6" s="79">
        <v>0</v>
      </c>
      <c r="BI6" s="79">
        <v>0</v>
      </c>
      <c r="BJ6" s="79">
        <v>0</v>
      </c>
      <c r="BK6" s="79">
        <v>0</v>
      </c>
      <c r="BL6" s="79">
        <v>0</v>
      </c>
      <c r="BM6" s="79">
        <v>0</v>
      </c>
    </row>
    <row r="7" spans="1:65" x14ac:dyDescent="0.25">
      <c r="A7" s="60">
        <f t="shared" ref="A7:A73" si="3">IF(B7=D7,0,1)</f>
        <v>0</v>
      </c>
      <c r="B7" s="58" t="str">
        <f>'TB Data'!B12</f>
        <v>0030</v>
      </c>
      <c r="C7" s="60">
        <f t="shared" si="2"/>
        <v>1</v>
      </c>
      <c r="D7" s="84" t="s">
        <v>219</v>
      </c>
      <c r="E7" s="79">
        <v>1</v>
      </c>
      <c r="F7" s="79">
        <v>0</v>
      </c>
      <c r="G7" s="79">
        <v>0</v>
      </c>
      <c r="H7" s="79">
        <v>0</v>
      </c>
      <c r="I7" s="79">
        <v>0</v>
      </c>
      <c r="J7" s="79">
        <v>0</v>
      </c>
      <c r="K7" s="79">
        <v>0</v>
      </c>
      <c r="L7" s="79">
        <v>0</v>
      </c>
      <c r="M7" s="79">
        <v>0</v>
      </c>
      <c r="N7" s="79">
        <v>0</v>
      </c>
      <c r="O7" s="79">
        <v>0</v>
      </c>
      <c r="P7" s="79">
        <v>0</v>
      </c>
      <c r="Q7" s="79">
        <v>0</v>
      </c>
      <c r="R7" s="79">
        <v>0</v>
      </c>
      <c r="S7" s="79">
        <v>0</v>
      </c>
      <c r="T7" s="79">
        <v>0</v>
      </c>
      <c r="U7" s="79">
        <v>0</v>
      </c>
      <c r="V7" s="79">
        <v>0</v>
      </c>
      <c r="W7" s="79">
        <v>0</v>
      </c>
      <c r="X7" s="79">
        <v>0</v>
      </c>
      <c r="Y7" s="79">
        <v>0</v>
      </c>
      <c r="Z7" s="79">
        <v>0</v>
      </c>
      <c r="AA7" s="79">
        <v>0</v>
      </c>
      <c r="AB7" s="79">
        <v>0</v>
      </c>
      <c r="AC7" s="79">
        <v>0</v>
      </c>
      <c r="AD7" s="79">
        <v>0</v>
      </c>
      <c r="AE7" s="79">
        <v>0</v>
      </c>
      <c r="AF7" s="79">
        <v>0</v>
      </c>
      <c r="AG7" s="79">
        <v>0</v>
      </c>
      <c r="AH7" s="79">
        <v>0</v>
      </c>
      <c r="AI7" s="79">
        <v>0</v>
      </c>
      <c r="AJ7" s="79">
        <v>0</v>
      </c>
      <c r="AK7" s="79">
        <v>0</v>
      </c>
      <c r="AL7" s="79">
        <v>0</v>
      </c>
      <c r="AM7" s="79">
        <v>0</v>
      </c>
      <c r="AN7" s="79">
        <v>0</v>
      </c>
      <c r="AO7" s="79">
        <v>0</v>
      </c>
      <c r="AP7" s="79">
        <v>0</v>
      </c>
      <c r="AQ7" s="79">
        <v>0</v>
      </c>
      <c r="AR7" s="79">
        <v>0</v>
      </c>
      <c r="AS7" s="79">
        <v>0</v>
      </c>
      <c r="AT7" s="79">
        <v>0</v>
      </c>
      <c r="AU7" s="79">
        <v>0</v>
      </c>
      <c r="AV7" s="79">
        <v>0</v>
      </c>
      <c r="AW7" s="79">
        <v>0</v>
      </c>
      <c r="AX7" s="79">
        <v>0</v>
      </c>
      <c r="AY7" s="79">
        <v>0</v>
      </c>
      <c r="AZ7" s="79">
        <v>0</v>
      </c>
      <c r="BA7" s="79">
        <v>0</v>
      </c>
      <c r="BB7" s="79">
        <v>0</v>
      </c>
      <c r="BC7" s="79">
        <v>0</v>
      </c>
      <c r="BD7" s="79">
        <v>0</v>
      </c>
      <c r="BE7" s="79">
        <v>0</v>
      </c>
      <c r="BF7" s="79">
        <v>0</v>
      </c>
      <c r="BG7" s="79">
        <v>0</v>
      </c>
      <c r="BH7" s="79">
        <v>0</v>
      </c>
      <c r="BI7" s="79">
        <v>0</v>
      </c>
      <c r="BJ7" s="79">
        <v>0</v>
      </c>
      <c r="BK7" s="79">
        <v>0</v>
      </c>
      <c r="BL7" s="79">
        <v>0</v>
      </c>
      <c r="BM7" s="79">
        <v>0</v>
      </c>
    </row>
    <row r="8" spans="1:65" x14ac:dyDescent="0.25">
      <c r="A8" s="60">
        <f t="shared" si="3"/>
        <v>0</v>
      </c>
      <c r="B8" s="58" t="str">
        <f>'TB Data'!B13</f>
        <v>0031</v>
      </c>
      <c r="C8" s="60">
        <f t="shared" si="2"/>
        <v>1</v>
      </c>
      <c r="D8" s="84" t="s">
        <v>220</v>
      </c>
      <c r="E8" s="79">
        <v>1</v>
      </c>
      <c r="F8" s="79">
        <v>0</v>
      </c>
      <c r="G8" s="79">
        <v>0</v>
      </c>
      <c r="H8" s="79">
        <v>0</v>
      </c>
      <c r="I8" s="79">
        <v>0</v>
      </c>
      <c r="J8" s="79">
        <v>0</v>
      </c>
      <c r="K8" s="79">
        <v>0</v>
      </c>
      <c r="L8" s="79">
        <v>0</v>
      </c>
      <c r="M8" s="79">
        <v>0</v>
      </c>
      <c r="N8" s="79">
        <v>0</v>
      </c>
      <c r="O8" s="79">
        <v>0</v>
      </c>
      <c r="P8" s="79">
        <v>0</v>
      </c>
      <c r="Q8" s="79">
        <v>0</v>
      </c>
      <c r="R8" s="79">
        <v>0</v>
      </c>
      <c r="S8" s="79">
        <v>0</v>
      </c>
      <c r="T8" s="79">
        <v>0</v>
      </c>
      <c r="U8" s="79">
        <v>0</v>
      </c>
      <c r="V8" s="79">
        <v>0</v>
      </c>
      <c r="W8" s="79">
        <v>0</v>
      </c>
      <c r="X8" s="79">
        <v>0</v>
      </c>
      <c r="Y8" s="79">
        <v>0</v>
      </c>
      <c r="Z8" s="79">
        <v>0</v>
      </c>
      <c r="AA8" s="79">
        <v>0</v>
      </c>
      <c r="AB8" s="79">
        <v>0</v>
      </c>
      <c r="AC8" s="79">
        <v>0</v>
      </c>
      <c r="AD8" s="79">
        <v>0</v>
      </c>
      <c r="AE8" s="79">
        <v>0</v>
      </c>
      <c r="AF8" s="79">
        <v>0</v>
      </c>
      <c r="AG8" s="79">
        <v>0</v>
      </c>
      <c r="AH8" s="79">
        <v>0</v>
      </c>
      <c r="AI8" s="79">
        <v>0</v>
      </c>
      <c r="AJ8" s="79">
        <v>0</v>
      </c>
      <c r="AK8" s="79">
        <v>0</v>
      </c>
      <c r="AL8" s="79">
        <v>0</v>
      </c>
      <c r="AM8" s="79">
        <v>0</v>
      </c>
      <c r="AN8" s="79">
        <v>0</v>
      </c>
      <c r="AO8" s="79">
        <v>0</v>
      </c>
      <c r="AP8" s="79">
        <v>0</v>
      </c>
      <c r="AQ8" s="79">
        <v>0</v>
      </c>
      <c r="AR8" s="79">
        <v>0</v>
      </c>
      <c r="AS8" s="79">
        <v>0</v>
      </c>
      <c r="AT8" s="79">
        <v>0</v>
      </c>
      <c r="AU8" s="79">
        <v>0</v>
      </c>
      <c r="AV8" s="79">
        <v>0</v>
      </c>
      <c r="AW8" s="79">
        <v>0</v>
      </c>
      <c r="AX8" s="79">
        <v>0</v>
      </c>
      <c r="AY8" s="79">
        <v>0</v>
      </c>
      <c r="AZ8" s="79">
        <v>0</v>
      </c>
      <c r="BA8" s="79">
        <v>0</v>
      </c>
      <c r="BB8" s="79">
        <v>0</v>
      </c>
      <c r="BC8" s="79">
        <v>0</v>
      </c>
      <c r="BD8" s="79">
        <v>0</v>
      </c>
      <c r="BE8" s="79">
        <v>0</v>
      </c>
      <c r="BF8" s="79">
        <v>0</v>
      </c>
      <c r="BG8" s="79">
        <v>0</v>
      </c>
      <c r="BH8" s="79">
        <v>0</v>
      </c>
      <c r="BI8" s="79">
        <v>0</v>
      </c>
      <c r="BJ8" s="79">
        <v>0</v>
      </c>
      <c r="BK8" s="79">
        <v>0</v>
      </c>
      <c r="BL8" s="79">
        <v>0</v>
      </c>
      <c r="BM8" s="79">
        <v>0</v>
      </c>
    </row>
    <row r="9" spans="1:65" x14ac:dyDescent="0.25">
      <c r="A9" s="60">
        <f t="shared" si="3"/>
        <v>0</v>
      </c>
      <c r="B9" s="58" t="str">
        <f>'TB Data'!B14</f>
        <v>0040</v>
      </c>
      <c r="C9" s="60">
        <f t="shared" si="2"/>
        <v>1</v>
      </c>
      <c r="D9" s="84" t="s">
        <v>221</v>
      </c>
      <c r="E9" s="79">
        <v>1</v>
      </c>
      <c r="F9" s="79">
        <v>0</v>
      </c>
      <c r="G9" s="79">
        <v>0</v>
      </c>
      <c r="H9" s="79">
        <v>0</v>
      </c>
      <c r="I9" s="79">
        <v>0</v>
      </c>
      <c r="J9" s="79">
        <v>0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79">
        <v>0</v>
      </c>
      <c r="U9" s="79">
        <v>0</v>
      </c>
      <c r="V9" s="79">
        <v>0</v>
      </c>
      <c r="W9" s="79">
        <v>0</v>
      </c>
      <c r="X9" s="79">
        <v>0</v>
      </c>
      <c r="Y9" s="79">
        <v>0</v>
      </c>
      <c r="Z9" s="79">
        <v>0</v>
      </c>
      <c r="AA9" s="79">
        <v>0</v>
      </c>
      <c r="AB9" s="79">
        <v>0</v>
      </c>
      <c r="AC9" s="79">
        <v>0</v>
      </c>
      <c r="AD9" s="79">
        <v>0</v>
      </c>
      <c r="AE9" s="79">
        <v>0</v>
      </c>
      <c r="AF9" s="79">
        <v>0</v>
      </c>
      <c r="AG9" s="79">
        <v>0</v>
      </c>
      <c r="AH9" s="79">
        <v>0</v>
      </c>
      <c r="AI9" s="79">
        <v>0</v>
      </c>
      <c r="AJ9" s="79">
        <v>0</v>
      </c>
      <c r="AK9" s="79">
        <v>0</v>
      </c>
      <c r="AL9" s="79">
        <v>0</v>
      </c>
      <c r="AM9" s="79">
        <v>0</v>
      </c>
      <c r="AN9" s="79">
        <v>0</v>
      </c>
      <c r="AO9" s="79">
        <v>0</v>
      </c>
      <c r="AP9" s="79">
        <v>0</v>
      </c>
      <c r="AQ9" s="79">
        <v>0</v>
      </c>
      <c r="AR9" s="79">
        <v>0</v>
      </c>
      <c r="AS9" s="79">
        <v>0</v>
      </c>
      <c r="AT9" s="79">
        <v>0</v>
      </c>
      <c r="AU9" s="79">
        <v>0</v>
      </c>
      <c r="AV9" s="79">
        <v>0</v>
      </c>
      <c r="AW9" s="79">
        <v>0</v>
      </c>
      <c r="AX9" s="79">
        <v>0</v>
      </c>
      <c r="AY9" s="79">
        <v>0</v>
      </c>
      <c r="AZ9" s="79">
        <v>0</v>
      </c>
      <c r="BA9" s="79">
        <v>0</v>
      </c>
      <c r="BB9" s="79">
        <v>0</v>
      </c>
      <c r="BC9" s="79">
        <v>0</v>
      </c>
      <c r="BD9" s="79">
        <v>0</v>
      </c>
      <c r="BE9" s="79">
        <v>0</v>
      </c>
      <c r="BF9" s="79">
        <v>0</v>
      </c>
      <c r="BG9" s="79">
        <v>0</v>
      </c>
      <c r="BH9" s="79">
        <v>0</v>
      </c>
      <c r="BI9" s="79">
        <v>0</v>
      </c>
      <c r="BJ9" s="79">
        <v>0</v>
      </c>
      <c r="BK9" s="79">
        <v>0</v>
      </c>
      <c r="BL9" s="79">
        <v>0</v>
      </c>
      <c r="BM9" s="79">
        <v>0</v>
      </c>
    </row>
    <row r="10" spans="1:65" x14ac:dyDescent="0.25">
      <c r="A10" s="60">
        <f t="shared" si="3"/>
        <v>0</v>
      </c>
      <c r="B10" s="58" t="str">
        <f>'TB Data'!B15</f>
        <v>0041</v>
      </c>
      <c r="C10" s="60">
        <f t="shared" si="2"/>
        <v>1</v>
      </c>
      <c r="D10" s="84" t="s">
        <v>222</v>
      </c>
      <c r="E10" s="79">
        <v>1</v>
      </c>
      <c r="F10" s="79">
        <v>0</v>
      </c>
      <c r="G10" s="79">
        <v>0</v>
      </c>
      <c r="H10" s="79">
        <v>0</v>
      </c>
      <c r="I10" s="79">
        <v>0</v>
      </c>
      <c r="J10" s="79">
        <v>0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0</v>
      </c>
      <c r="Q10" s="79">
        <v>0</v>
      </c>
      <c r="R10" s="79">
        <v>0</v>
      </c>
      <c r="S10" s="79">
        <v>0</v>
      </c>
      <c r="T10" s="79">
        <v>0</v>
      </c>
      <c r="U10" s="79">
        <v>0</v>
      </c>
      <c r="V10" s="79">
        <v>0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 s="79">
        <v>0</v>
      </c>
      <c r="AF10" s="79">
        <v>0</v>
      </c>
      <c r="AG10" s="79">
        <v>0</v>
      </c>
      <c r="AH10" s="79">
        <v>0</v>
      </c>
      <c r="AI10" s="79">
        <v>0</v>
      </c>
      <c r="AJ10" s="79">
        <v>0</v>
      </c>
      <c r="AK10" s="79">
        <v>0</v>
      </c>
      <c r="AL10" s="79">
        <v>0</v>
      </c>
      <c r="AM10" s="79">
        <v>0</v>
      </c>
      <c r="AN10" s="79">
        <v>0</v>
      </c>
      <c r="AO10" s="79">
        <v>0</v>
      </c>
      <c r="AP10" s="79">
        <v>0</v>
      </c>
      <c r="AQ10" s="79">
        <v>0</v>
      </c>
      <c r="AR10" s="79">
        <v>0</v>
      </c>
      <c r="AS10" s="79">
        <v>0</v>
      </c>
      <c r="AT10" s="79">
        <v>0</v>
      </c>
      <c r="AU10" s="79">
        <v>0</v>
      </c>
      <c r="AV10" s="79">
        <v>0</v>
      </c>
      <c r="AW10" s="79">
        <v>0</v>
      </c>
      <c r="AX10" s="79">
        <v>0</v>
      </c>
      <c r="AY10" s="79">
        <v>0</v>
      </c>
      <c r="AZ10" s="79">
        <v>0</v>
      </c>
      <c r="BA10" s="79">
        <v>0</v>
      </c>
      <c r="BB10" s="79">
        <v>0</v>
      </c>
      <c r="BC10" s="79">
        <v>0</v>
      </c>
      <c r="BD10" s="79">
        <v>0</v>
      </c>
      <c r="BE10" s="79">
        <v>0</v>
      </c>
      <c r="BF10" s="79">
        <v>0</v>
      </c>
      <c r="BG10" s="79">
        <v>0</v>
      </c>
      <c r="BH10" s="79">
        <v>0</v>
      </c>
      <c r="BI10" s="79">
        <v>0</v>
      </c>
      <c r="BJ10" s="79">
        <v>0</v>
      </c>
      <c r="BK10" s="79">
        <v>0</v>
      </c>
      <c r="BL10" s="79">
        <v>0</v>
      </c>
      <c r="BM10" s="79">
        <v>0</v>
      </c>
    </row>
    <row r="11" spans="1:65" x14ac:dyDescent="0.25">
      <c r="A11" s="60">
        <f t="shared" si="3"/>
        <v>0</v>
      </c>
      <c r="B11" s="58" t="str">
        <f>'TB Data'!B16</f>
        <v>1001</v>
      </c>
      <c r="C11" s="60">
        <f t="shared" si="2"/>
        <v>1</v>
      </c>
      <c r="D11" s="84" t="s">
        <v>119</v>
      </c>
      <c r="E11" s="79">
        <v>0</v>
      </c>
      <c r="F11" s="79">
        <v>1</v>
      </c>
      <c r="G11" s="79">
        <v>0</v>
      </c>
      <c r="H11" s="79">
        <v>0</v>
      </c>
      <c r="I11" s="79">
        <v>0</v>
      </c>
      <c r="J11" s="79">
        <v>0</v>
      </c>
      <c r="K11" s="79">
        <v>0</v>
      </c>
      <c r="L11" s="79">
        <v>0</v>
      </c>
      <c r="M11" s="79">
        <v>0</v>
      </c>
      <c r="N11" s="79">
        <v>0</v>
      </c>
      <c r="O11" s="79">
        <v>0</v>
      </c>
      <c r="P11" s="79">
        <v>0</v>
      </c>
      <c r="Q11" s="79">
        <v>0</v>
      </c>
      <c r="R11" s="79">
        <v>0</v>
      </c>
      <c r="S11" s="79">
        <v>0</v>
      </c>
      <c r="T11" s="79">
        <v>0</v>
      </c>
      <c r="U11" s="79">
        <v>0</v>
      </c>
      <c r="V11" s="79">
        <v>0</v>
      </c>
      <c r="W11" s="79">
        <v>0</v>
      </c>
      <c r="X11" s="79">
        <v>0</v>
      </c>
      <c r="Y11" s="79">
        <v>0</v>
      </c>
      <c r="Z11" s="79">
        <v>0</v>
      </c>
      <c r="AA11" s="79">
        <v>0</v>
      </c>
      <c r="AB11" s="79">
        <v>0</v>
      </c>
      <c r="AC11" s="79">
        <v>0</v>
      </c>
      <c r="AD11" s="79">
        <v>0</v>
      </c>
      <c r="AE11" s="79">
        <v>0</v>
      </c>
      <c r="AF11" s="79">
        <v>0</v>
      </c>
      <c r="AG11" s="79">
        <v>0</v>
      </c>
      <c r="AH11" s="79">
        <v>0</v>
      </c>
      <c r="AI11" s="79">
        <v>0</v>
      </c>
      <c r="AJ11" s="79">
        <v>0</v>
      </c>
      <c r="AK11" s="79">
        <v>0</v>
      </c>
      <c r="AL11" s="79">
        <v>0</v>
      </c>
      <c r="AM11" s="79">
        <v>0</v>
      </c>
      <c r="AN11" s="79">
        <v>0</v>
      </c>
      <c r="AO11" s="79">
        <v>0</v>
      </c>
      <c r="AP11" s="79">
        <v>0</v>
      </c>
      <c r="AQ11" s="79">
        <v>0</v>
      </c>
      <c r="AR11" s="79">
        <v>0</v>
      </c>
      <c r="AS11" s="79">
        <v>0</v>
      </c>
      <c r="AT11" s="79">
        <v>0</v>
      </c>
      <c r="AU11" s="79">
        <v>0</v>
      </c>
      <c r="AV11" s="79">
        <v>0</v>
      </c>
      <c r="AW11" s="79">
        <v>0</v>
      </c>
      <c r="AX11" s="79">
        <v>0</v>
      </c>
      <c r="AY11" s="79">
        <v>0</v>
      </c>
      <c r="AZ11" s="79">
        <v>0</v>
      </c>
      <c r="BA11" s="79">
        <v>0</v>
      </c>
      <c r="BB11" s="79">
        <v>0</v>
      </c>
      <c r="BC11" s="79">
        <v>0</v>
      </c>
      <c r="BD11" s="79">
        <v>0</v>
      </c>
      <c r="BE11" s="79">
        <v>0</v>
      </c>
      <c r="BF11" s="79">
        <v>0</v>
      </c>
      <c r="BG11" s="79">
        <v>0</v>
      </c>
      <c r="BH11" s="79">
        <v>0</v>
      </c>
      <c r="BI11" s="79">
        <v>0</v>
      </c>
      <c r="BJ11" s="79">
        <v>0</v>
      </c>
      <c r="BK11" s="79">
        <v>0</v>
      </c>
      <c r="BL11" s="79">
        <v>0</v>
      </c>
      <c r="BM11" s="79">
        <v>0</v>
      </c>
    </row>
    <row r="12" spans="1:65" x14ac:dyDescent="0.25">
      <c r="A12" s="60">
        <f t="shared" si="3"/>
        <v>0</v>
      </c>
      <c r="B12" s="58">
        <f>'TB Data'!B17</f>
        <v>1004</v>
      </c>
      <c r="C12" s="60">
        <f t="shared" si="2"/>
        <v>1</v>
      </c>
      <c r="D12" s="84">
        <v>1004</v>
      </c>
      <c r="E12" s="79">
        <v>0</v>
      </c>
      <c r="F12" s="79">
        <v>1</v>
      </c>
      <c r="G12" s="79">
        <v>0</v>
      </c>
      <c r="H12" s="79">
        <v>0</v>
      </c>
      <c r="I12" s="79">
        <v>0</v>
      </c>
      <c r="J12" s="79">
        <v>0</v>
      </c>
      <c r="K12" s="79">
        <v>0</v>
      </c>
      <c r="L12" s="79">
        <v>0</v>
      </c>
      <c r="M12" s="79">
        <v>0</v>
      </c>
      <c r="N12" s="79">
        <v>0</v>
      </c>
      <c r="O12" s="79">
        <v>0</v>
      </c>
      <c r="P12" s="79">
        <v>0</v>
      </c>
      <c r="Q12" s="79">
        <v>0</v>
      </c>
      <c r="R12" s="79">
        <v>0</v>
      </c>
      <c r="S12" s="79">
        <v>0</v>
      </c>
      <c r="T12" s="79">
        <v>0</v>
      </c>
      <c r="U12" s="79">
        <v>0</v>
      </c>
      <c r="V12" s="79">
        <v>0</v>
      </c>
      <c r="W12" s="79">
        <v>0</v>
      </c>
      <c r="X12" s="79">
        <v>0</v>
      </c>
      <c r="Y12" s="79">
        <v>0</v>
      </c>
      <c r="Z12" s="79">
        <v>0</v>
      </c>
      <c r="AA12" s="79">
        <v>0</v>
      </c>
      <c r="AB12" s="79">
        <v>0</v>
      </c>
      <c r="AC12" s="79">
        <v>0</v>
      </c>
      <c r="AD12" s="79">
        <v>0</v>
      </c>
      <c r="AE12" s="79">
        <v>0</v>
      </c>
      <c r="AF12" s="79">
        <v>0</v>
      </c>
      <c r="AG12" s="79">
        <v>0</v>
      </c>
      <c r="AH12" s="79">
        <v>0</v>
      </c>
      <c r="AI12" s="79">
        <v>0</v>
      </c>
      <c r="AJ12" s="79">
        <v>0</v>
      </c>
      <c r="AK12" s="79">
        <v>0</v>
      </c>
      <c r="AL12" s="79">
        <v>0</v>
      </c>
      <c r="AM12" s="79">
        <v>0</v>
      </c>
      <c r="AN12" s="79">
        <v>0</v>
      </c>
      <c r="AO12" s="79">
        <v>0</v>
      </c>
      <c r="AP12" s="79">
        <v>0</v>
      </c>
      <c r="AQ12" s="79">
        <v>0</v>
      </c>
      <c r="AR12" s="79">
        <v>0</v>
      </c>
      <c r="AS12" s="79">
        <v>0</v>
      </c>
      <c r="AT12" s="79">
        <v>0</v>
      </c>
      <c r="AU12" s="79">
        <v>0</v>
      </c>
      <c r="AV12" s="79">
        <v>0</v>
      </c>
      <c r="AW12" s="79">
        <v>0</v>
      </c>
      <c r="AX12" s="79">
        <v>0</v>
      </c>
      <c r="AY12" s="79">
        <v>0</v>
      </c>
      <c r="AZ12" s="79">
        <v>0</v>
      </c>
      <c r="BA12" s="79">
        <v>0</v>
      </c>
      <c r="BB12" s="79">
        <v>0</v>
      </c>
      <c r="BC12" s="79">
        <v>0</v>
      </c>
      <c r="BD12" s="79">
        <v>0</v>
      </c>
      <c r="BE12" s="79">
        <v>0</v>
      </c>
      <c r="BF12" s="79">
        <v>0</v>
      </c>
      <c r="BG12" s="79">
        <v>0</v>
      </c>
      <c r="BH12" s="79">
        <v>0</v>
      </c>
      <c r="BI12" s="79">
        <v>0</v>
      </c>
      <c r="BJ12" s="79">
        <v>0</v>
      </c>
      <c r="BK12" s="79">
        <v>0</v>
      </c>
      <c r="BL12" s="79">
        <v>0</v>
      </c>
      <c r="BM12" s="79">
        <v>0</v>
      </c>
    </row>
    <row r="13" spans="1:65" s="79" customFormat="1" x14ac:dyDescent="0.25">
      <c r="A13" s="60">
        <f t="shared" si="3"/>
        <v>0</v>
      </c>
      <c r="B13" s="58" t="str">
        <f>'TB Data'!B18</f>
        <v>1100</v>
      </c>
      <c r="C13" s="60">
        <f t="shared" si="2"/>
        <v>1</v>
      </c>
      <c r="D13" s="84" t="s">
        <v>118</v>
      </c>
      <c r="E13" s="79">
        <v>0</v>
      </c>
      <c r="F13" s="79">
        <v>0</v>
      </c>
      <c r="G13" s="79">
        <v>1</v>
      </c>
      <c r="H13" s="79">
        <v>0</v>
      </c>
      <c r="I13" s="7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0</v>
      </c>
      <c r="Q13" s="79">
        <v>0</v>
      </c>
      <c r="R13" s="79">
        <v>0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0</v>
      </c>
      <c r="AG13" s="79">
        <v>0</v>
      </c>
      <c r="AH13" s="79">
        <v>0</v>
      </c>
      <c r="AI13" s="79">
        <v>0</v>
      </c>
      <c r="AJ13" s="79">
        <v>0</v>
      </c>
      <c r="AK13" s="79">
        <v>0</v>
      </c>
      <c r="AL13" s="79">
        <v>0</v>
      </c>
      <c r="AM13" s="79">
        <v>0</v>
      </c>
      <c r="AN13" s="79">
        <v>0</v>
      </c>
      <c r="AO13" s="79">
        <v>0</v>
      </c>
      <c r="AP13" s="79">
        <v>0</v>
      </c>
      <c r="AQ13" s="79">
        <v>0</v>
      </c>
      <c r="AR13" s="79">
        <v>0</v>
      </c>
      <c r="AS13" s="79">
        <v>0</v>
      </c>
      <c r="AT13" s="79">
        <v>0</v>
      </c>
      <c r="AU13" s="79">
        <v>0</v>
      </c>
      <c r="AV13" s="79">
        <v>0</v>
      </c>
      <c r="AW13" s="79">
        <v>0</v>
      </c>
      <c r="AX13" s="79">
        <v>0</v>
      </c>
      <c r="AY13" s="79">
        <v>0</v>
      </c>
      <c r="AZ13" s="79">
        <v>0</v>
      </c>
      <c r="BA13" s="79">
        <v>0</v>
      </c>
      <c r="BB13" s="79">
        <v>0</v>
      </c>
      <c r="BC13" s="79">
        <v>0</v>
      </c>
      <c r="BD13" s="79">
        <v>0</v>
      </c>
      <c r="BE13" s="79">
        <v>0</v>
      </c>
      <c r="BF13" s="79">
        <v>0</v>
      </c>
      <c r="BG13" s="79">
        <v>0</v>
      </c>
      <c r="BH13" s="79">
        <v>0</v>
      </c>
      <c r="BI13" s="79">
        <v>0</v>
      </c>
      <c r="BJ13" s="79">
        <v>0</v>
      </c>
      <c r="BK13" s="79">
        <v>0</v>
      </c>
      <c r="BL13" s="79">
        <v>0</v>
      </c>
      <c r="BM13" s="79">
        <v>0</v>
      </c>
    </row>
    <row r="14" spans="1:65" s="79" customFormat="1" x14ac:dyDescent="0.25">
      <c r="A14" s="60">
        <f t="shared" si="3"/>
        <v>0</v>
      </c>
      <c r="B14" s="58">
        <f>'TB Data'!B19</f>
        <v>1101</v>
      </c>
      <c r="C14" s="60">
        <f t="shared" si="2"/>
        <v>1</v>
      </c>
      <c r="D14" s="102">
        <v>1101</v>
      </c>
      <c r="E14" s="79">
        <v>0</v>
      </c>
      <c r="F14" s="79">
        <v>0</v>
      </c>
      <c r="G14" s="79">
        <v>1</v>
      </c>
      <c r="H14" s="79">
        <v>0</v>
      </c>
      <c r="I14" s="79">
        <v>0</v>
      </c>
      <c r="J14" s="79">
        <v>0</v>
      </c>
      <c r="K14" s="79">
        <v>0</v>
      </c>
      <c r="L14" s="79">
        <v>0</v>
      </c>
      <c r="M14" s="79">
        <v>0</v>
      </c>
      <c r="N14" s="79">
        <v>0</v>
      </c>
      <c r="O14" s="79">
        <v>0</v>
      </c>
      <c r="P14" s="79">
        <v>0</v>
      </c>
      <c r="Q14" s="79">
        <v>0</v>
      </c>
      <c r="R14" s="79">
        <v>0</v>
      </c>
      <c r="S14" s="79">
        <v>0</v>
      </c>
      <c r="T14" s="79">
        <v>0</v>
      </c>
      <c r="U14" s="79">
        <v>0</v>
      </c>
      <c r="V14" s="79">
        <v>0</v>
      </c>
      <c r="W14" s="79">
        <v>0</v>
      </c>
      <c r="X14" s="79">
        <v>0</v>
      </c>
      <c r="Y14" s="79">
        <v>0</v>
      </c>
      <c r="Z14" s="79">
        <v>0</v>
      </c>
      <c r="AA14" s="79">
        <v>0</v>
      </c>
      <c r="AB14" s="79">
        <v>0</v>
      </c>
      <c r="AC14" s="79">
        <v>0</v>
      </c>
      <c r="AD14" s="79">
        <v>0</v>
      </c>
      <c r="AE14" s="79">
        <v>0</v>
      </c>
      <c r="AF14" s="79">
        <v>0</v>
      </c>
      <c r="AG14" s="79">
        <v>0</v>
      </c>
      <c r="AH14" s="79">
        <v>0</v>
      </c>
      <c r="AI14" s="79">
        <v>0</v>
      </c>
      <c r="AJ14" s="79">
        <v>0</v>
      </c>
      <c r="AK14" s="79">
        <v>0</v>
      </c>
      <c r="AL14" s="79">
        <v>0</v>
      </c>
      <c r="AM14" s="79">
        <v>0</v>
      </c>
      <c r="AN14" s="79">
        <v>0</v>
      </c>
      <c r="AO14" s="79">
        <v>0</v>
      </c>
      <c r="AP14" s="79">
        <v>0</v>
      </c>
      <c r="AQ14" s="79">
        <v>0</v>
      </c>
      <c r="AR14" s="79">
        <v>0</v>
      </c>
      <c r="AS14" s="79">
        <v>0</v>
      </c>
      <c r="AT14" s="79">
        <v>0</v>
      </c>
      <c r="AU14" s="79">
        <v>0</v>
      </c>
      <c r="AV14" s="79">
        <v>0</v>
      </c>
      <c r="AW14" s="79">
        <v>0</v>
      </c>
      <c r="AX14" s="79">
        <v>0</v>
      </c>
      <c r="AY14" s="79">
        <v>0</v>
      </c>
      <c r="AZ14" s="79">
        <v>0</v>
      </c>
      <c r="BA14" s="79">
        <v>0</v>
      </c>
      <c r="BB14" s="79">
        <v>0</v>
      </c>
      <c r="BC14" s="79">
        <v>0</v>
      </c>
      <c r="BD14" s="79">
        <v>0</v>
      </c>
      <c r="BE14" s="79">
        <v>0</v>
      </c>
      <c r="BF14" s="79">
        <v>0</v>
      </c>
      <c r="BG14" s="79">
        <v>0</v>
      </c>
      <c r="BH14" s="79">
        <v>0</v>
      </c>
      <c r="BI14" s="79">
        <v>0</v>
      </c>
      <c r="BJ14" s="79">
        <v>0</v>
      </c>
      <c r="BK14" s="79">
        <v>0</v>
      </c>
      <c r="BL14" s="79">
        <v>0</v>
      </c>
      <c r="BM14" s="79">
        <v>0</v>
      </c>
    </row>
    <row r="15" spans="1:65" x14ac:dyDescent="0.25">
      <c r="A15" s="60">
        <f t="shared" si="3"/>
        <v>0</v>
      </c>
      <c r="B15" s="58" t="str">
        <f>'TB Data'!B20</f>
        <v>1102</v>
      </c>
      <c r="C15" s="60">
        <f t="shared" si="2"/>
        <v>1</v>
      </c>
      <c r="D15" s="84" t="s">
        <v>282</v>
      </c>
      <c r="E15" s="79">
        <v>0</v>
      </c>
      <c r="F15" s="79">
        <v>0</v>
      </c>
      <c r="G15" s="79">
        <v>0</v>
      </c>
      <c r="H15" s="79">
        <v>1</v>
      </c>
      <c r="I15" s="79">
        <v>0</v>
      </c>
      <c r="J15" s="79">
        <v>0</v>
      </c>
      <c r="K15" s="79">
        <v>0</v>
      </c>
      <c r="L15" s="79">
        <v>0</v>
      </c>
      <c r="M15" s="79">
        <v>0</v>
      </c>
      <c r="N15" s="79">
        <v>0</v>
      </c>
      <c r="O15" s="79">
        <v>0</v>
      </c>
      <c r="P15" s="79">
        <v>0</v>
      </c>
      <c r="Q15" s="79">
        <v>0</v>
      </c>
      <c r="R15" s="79">
        <v>0</v>
      </c>
      <c r="S15" s="79">
        <v>0</v>
      </c>
      <c r="T15" s="79">
        <v>0</v>
      </c>
      <c r="U15" s="79">
        <v>0</v>
      </c>
      <c r="V15" s="79">
        <v>0</v>
      </c>
      <c r="W15" s="79">
        <v>0</v>
      </c>
      <c r="X15" s="79">
        <v>0</v>
      </c>
      <c r="Y15" s="79">
        <v>0</v>
      </c>
      <c r="Z15" s="79">
        <v>0</v>
      </c>
      <c r="AA15" s="79">
        <v>0</v>
      </c>
      <c r="AB15" s="79">
        <v>0</v>
      </c>
      <c r="AC15" s="79">
        <v>0</v>
      </c>
      <c r="AD15" s="79">
        <v>0</v>
      </c>
      <c r="AE15" s="79">
        <v>0</v>
      </c>
      <c r="AF15" s="79">
        <v>0</v>
      </c>
      <c r="AG15" s="79">
        <v>0</v>
      </c>
      <c r="AH15" s="79">
        <v>0</v>
      </c>
      <c r="AI15" s="79">
        <v>0</v>
      </c>
      <c r="AJ15" s="79">
        <v>0</v>
      </c>
      <c r="AK15" s="79">
        <v>0</v>
      </c>
      <c r="AL15" s="79">
        <v>0</v>
      </c>
      <c r="AM15" s="79">
        <v>0</v>
      </c>
      <c r="AN15" s="79">
        <v>0</v>
      </c>
      <c r="AO15" s="79">
        <v>0</v>
      </c>
      <c r="AP15" s="79">
        <v>0</v>
      </c>
      <c r="AQ15" s="79">
        <v>0</v>
      </c>
      <c r="AR15" s="79">
        <v>0</v>
      </c>
      <c r="AS15" s="79">
        <v>0</v>
      </c>
      <c r="AT15" s="79">
        <v>0</v>
      </c>
      <c r="AU15" s="79">
        <v>0</v>
      </c>
      <c r="AV15" s="79">
        <v>0</v>
      </c>
      <c r="AW15" s="79">
        <v>0</v>
      </c>
      <c r="AX15" s="79">
        <v>0</v>
      </c>
      <c r="AY15" s="79">
        <v>0</v>
      </c>
      <c r="AZ15" s="79">
        <v>0</v>
      </c>
      <c r="BA15" s="79">
        <v>0</v>
      </c>
      <c r="BB15" s="79">
        <v>0</v>
      </c>
      <c r="BC15" s="79">
        <v>0</v>
      </c>
      <c r="BD15" s="79">
        <v>0</v>
      </c>
      <c r="BE15" s="79">
        <v>0</v>
      </c>
      <c r="BF15" s="79">
        <v>0</v>
      </c>
      <c r="BG15" s="79">
        <v>0</v>
      </c>
      <c r="BH15" s="79">
        <v>0</v>
      </c>
      <c r="BI15" s="79">
        <v>0</v>
      </c>
      <c r="BJ15" s="79">
        <v>0</v>
      </c>
      <c r="BK15" s="79">
        <v>0</v>
      </c>
      <c r="BL15" s="79">
        <v>0</v>
      </c>
      <c r="BM15" s="79">
        <v>0</v>
      </c>
    </row>
    <row r="16" spans="1:65" s="79" customFormat="1" x14ac:dyDescent="0.25">
      <c r="A16" s="60">
        <f t="shared" ref="A16" si="4">IF(B16=D16,0,1)</f>
        <v>0</v>
      </c>
      <c r="B16" s="58" t="str">
        <f>'TB Data'!B21</f>
        <v>1104</v>
      </c>
      <c r="C16" s="60">
        <f t="shared" si="2"/>
        <v>1</v>
      </c>
      <c r="D16" s="102" t="s">
        <v>319</v>
      </c>
      <c r="E16" s="79">
        <v>0</v>
      </c>
      <c r="F16" s="79">
        <v>0</v>
      </c>
      <c r="G16" s="79">
        <v>0</v>
      </c>
      <c r="H16" s="79">
        <v>0</v>
      </c>
      <c r="I16" s="79">
        <v>0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9">
        <v>0</v>
      </c>
      <c r="U16" s="79">
        <v>0</v>
      </c>
      <c r="V16" s="79">
        <v>0</v>
      </c>
      <c r="W16" s="79">
        <v>0</v>
      </c>
      <c r="X16" s="79">
        <v>0</v>
      </c>
      <c r="Y16" s="79">
        <v>0</v>
      </c>
      <c r="Z16" s="79">
        <v>0</v>
      </c>
      <c r="AA16" s="79">
        <v>0</v>
      </c>
      <c r="AB16" s="79">
        <v>0</v>
      </c>
      <c r="AC16" s="79">
        <v>0</v>
      </c>
      <c r="AD16" s="79">
        <v>0</v>
      </c>
      <c r="AE16" s="79">
        <v>0</v>
      </c>
      <c r="AF16" s="79">
        <v>0</v>
      </c>
      <c r="AG16" s="79">
        <v>0</v>
      </c>
      <c r="AH16" s="79">
        <v>0</v>
      </c>
      <c r="AI16" s="79">
        <v>0</v>
      </c>
      <c r="AJ16" s="79">
        <v>0</v>
      </c>
      <c r="AK16" s="79">
        <v>0</v>
      </c>
      <c r="AL16" s="79">
        <v>0</v>
      </c>
      <c r="AM16" s="79">
        <v>0</v>
      </c>
      <c r="AN16" s="79">
        <v>0</v>
      </c>
      <c r="AO16" s="79">
        <v>0</v>
      </c>
      <c r="AP16" s="79">
        <v>0</v>
      </c>
      <c r="AQ16" s="79">
        <v>0</v>
      </c>
      <c r="AR16" s="79">
        <v>0</v>
      </c>
      <c r="AS16" s="79">
        <v>0</v>
      </c>
      <c r="AT16" s="79">
        <v>0</v>
      </c>
      <c r="AU16" s="79">
        <v>0</v>
      </c>
      <c r="AV16" s="79">
        <v>0</v>
      </c>
      <c r="AW16" s="79">
        <v>0</v>
      </c>
      <c r="AX16" s="79">
        <v>0</v>
      </c>
      <c r="AY16" s="79">
        <v>0</v>
      </c>
      <c r="AZ16" s="79">
        <v>0</v>
      </c>
      <c r="BA16" s="79">
        <v>0</v>
      </c>
      <c r="BB16" s="79">
        <v>0</v>
      </c>
      <c r="BC16" s="79">
        <v>0</v>
      </c>
      <c r="BD16" s="79">
        <v>0</v>
      </c>
      <c r="BE16" s="79">
        <v>0</v>
      </c>
      <c r="BF16" s="79">
        <v>0</v>
      </c>
      <c r="BG16" s="79">
        <v>0</v>
      </c>
      <c r="BH16" s="79">
        <v>0</v>
      </c>
      <c r="BI16" s="79">
        <v>0</v>
      </c>
      <c r="BJ16" s="79">
        <v>0</v>
      </c>
      <c r="BK16" s="79">
        <v>0</v>
      </c>
      <c r="BL16" s="79">
        <v>0</v>
      </c>
      <c r="BM16" s="79">
        <v>0</v>
      </c>
    </row>
    <row r="17" spans="1:65" x14ac:dyDescent="0.25">
      <c r="A17" s="60">
        <f t="shared" si="3"/>
        <v>0</v>
      </c>
      <c r="B17" s="58">
        <f>'TB Data'!B22</f>
        <v>1110</v>
      </c>
      <c r="C17" s="60">
        <f t="shared" si="2"/>
        <v>1</v>
      </c>
      <c r="D17" s="84">
        <v>1110</v>
      </c>
      <c r="E17" s="79">
        <v>0</v>
      </c>
      <c r="F17" s="79">
        <v>0</v>
      </c>
      <c r="G17" s="79">
        <v>0</v>
      </c>
      <c r="H17" s="79">
        <v>0</v>
      </c>
      <c r="I17" s="79">
        <v>1</v>
      </c>
      <c r="J17" s="79">
        <v>0</v>
      </c>
      <c r="K17" s="79">
        <v>0</v>
      </c>
      <c r="L17" s="79">
        <v>0</v>
      </c>
      <c r="M17" s="79">
        <v>0</v>
      </c>
      <c r="N17" s="79">
        <v>0</v>
      </c>
      <c r="O17" s="79">
        <v>0</v>
      </c>
      <c r="P17" s="79">
        <v>0</v>
      </c>
      <c r="Q17" s="79">
        <v>0</v>
      </c>
      <c r="R17" s="79">
        <v>0</v>
      </c>
      <c r="S17" s="79">
        <v>0</v>
      </c>
      <c r="T17" s="79">
        <v>0</v>
      </c>
      <c r="U17" s="79">
        <v>0</v>
      </c>
      <c r="V17" s="79">
        <v>0</v>
      </c>
      <c r="W17" s="79">
        <v>0</v>
      </c>
      <c r="X17" s="79">
        <v>0</v>
      </c>
      <c r="Y17" s="79">
        <v>0</v>
      </c>
      <c r="Z17" s="79">
        <v>0</v>
      </c>
      <c r="AA17" s="79">
        <v>0</v>
      </c>
      <c r="AB17" s="79">
        <v>0</v>
      </c>
      <c r="AC17" s="79">
        <v>0</v>
      </c>
      <c r="AD17" s="79">
        <v>0</v>
      </c>
      <c r="AE17" s="79">
        <v>0</v>
      </c>
      <c r="AF17" s="79">
        <v>0</v>
      </c>
      <c r="AG17" s="79">
        <v>0</v>
      </c>
      <c r="AH17" s="79">
        <v>0</v>
      </c>
      <c r="AI17" s="79">
        <v>0</v>
      </c>
      <c r="AJ17" s="79">
        <v>0</v>
      </c>
      <c r="AK17" s="79">
        <v>0</v>
      </c>
      <c r="AL17" s="79">
        <v>0</v>
      </c>
      <c r="AM17" s="79">
        <v>0</v>
      </c>
      <c r="AN17" s="79">
        <v>0</v>
      </c>
      <c r="AO17" s="79">
        <v>0</v>
      </c>
      <c r="AP17" s="79">
        <v>0</v>
      </c>
      <c r="AQ17" s="79">
        <v>0</v>
      </c>
      <c r="AR17" s="79">
        <v>0</v>
      </c>
      <c r="AS17" s="79">
        <v>0</v>
      </c>
      <c r="AT17" s="79">
        <v>0</v>
      </c>
      <c r="AU17" s="79">
        <v>0</v>
      </c>
      <c r="AV17" s="79">
        <v>0</v>
      </c>
      <c r="AW17" s="79">
        <v>0</v>
      </c>
      <c r="AX17" s="79">
        <v>0</v>
      </c>
      <c r="AY17" s="79">
        <v>0</v>
      </c>
      <c r="AZ17" s="79">
        <v>0</v>
      </c>
      <c r="BA17" s="79">
        <v>0</v>
      </c>
      <c r="BB17" s="79">
        <v>0</v>
      </c>
      <c r="BC17" s="79">
        <v>0</v>
      </c>
      <c r="BD17" s="79">
        <v>0</v>
      </c>
      <c r="BE17" s="79">
        <v>0</v>
      </c>
      <c r="BF17" s="79">
        <v>0</v>
      </c>
      <c r="BG17" s="79">
        <v>0</v>
      </c>
      <c r="BH17" s="79">
        <v>0</v>
      </c>
      <c r="BI17" s="79">
        <v>0</v>
      </c>
      <c r="BJ17" s="79">
        <v>0</v>
      </c>
      <c r="BK17" s="79">
        <v>0</v>
      </c>
      <c r="BL17" s="79">
        <v>0</v>
      </c>
      <c r="BM17" s="79">
        <v>0</v>
      </c>
    </row>
    <row r="18" spans="1:65" x14ac:dyDescent="0.25">
      <c r="A18" s="60">
        <f t="shared" si="3"/>
        <v>0</v>
      </c>
      <c r="B18" s="58" t="str">
        <f>'TB Data'!B23</f>
        <v>1115</v>
      </c>
      <c r="C18" s="60">
        <f t="shared" si="2"/>
        <v>1</v>
      </c>
      <c r="D18" s="84" t="s">
        <v>223</v>
      </c>
      <c r="E18" s="79">
        <v>0</v>
      </c>
      <c r="F18" s="79">
        <v>0</v>
      </c>
      <c r="G18" s="79">
        <v>0</v>
      </c>
      <c r="H18" s="79">
        <v>0</v>
      </c>
      <c r="I18" s="79">
        <v>0</v>
      </c>
      <c r="J18" s="79">
        <v>1</v>
      </c>
      <c r="K18" s="79">
        <v>0</v>
      </c>
      <c r="L18" s="79">
        <v>0</v>
      </c>
      <c r="M18" s="79">
        <v>0</v>
      </c>
      <c r="N18" s="79">
        <v>0</v>
      </c>
      <c r="O18" s="79">
        <v>0</v>
      </c>
      <c r="P18" s="79">
        <v>0</v>
      </c>
      <c r="Q18" s="79">
        <v>0</v>
      </c>
      <c r="R18" s="79">
        <v>0</v>
      </c>
      <c r="S18" s="79">
        <v>0</v>
      </c>
      <c r="T18" s="79">
        <v>0</v>
      </c>
      <c r="U18" s="79">
        <v>0</v>
      </c>
      <c r="V18" s="79">
        <v>0</v>
      </c>
      <c r="W18" s="79">
        <v>0</v>
      </c>
      <c r="X18" s="79">
        <v>0</v>
      </c>
      <c r="Y18" s="79">
        <v>0</v>
      </c>
      <c r="Z18" s="79">
        <v>0</v>
      </c>
      <c r="AA18" s="79">
        <v>0</v>
      </c>
      <c r="AB18" s="79">
        <v>0</v>
      </c>
      <c r="AC18" s="79">
        <v>0</v>
      </c>
      <c r="AD18" s="79">
        <v>0</v>
      </c>
      <c r="AE18" s="79">
        <v>0</v>
      </c>
      <c r="AF18" s="79">
        <v>0</v>
      </c>
      <c r="AG18" s="79">
        <v>0</v>
      </c>
      <c r="AH18" s="79">
        <v>0</v>
      </c>
      <c r="AI18" s="79">
        <v>0</v>
      </c>
      <c r="AJ18" s="79">
        <v>0</v>
      </c>
      <c r="AK18" s="79">
        <v>0</v>
      </c>
      <c r="AL18" s="79">
        <v>0</v>
      </c>
      <c r="AM18" s="79">
        <v>0</v>
      </c>
      <c r="AN18" s="79">
        <v>0</v>
      </c>
      <c r="AO18" s="79">
        <v>0</v>
      </c>
      <c r="AP18" s="79">
        <v>0</v>
      </c>
      <c r="AQ18" s="79">
        <v>0</v>
      </c>
      <c r="AR18" s="79">
        <v>0</v>
      </c>
      <c r="AS18" s="79">
        <v>0</v>
      </c>
      <c r="AT18" s="79">
        <v>0</v>
      </c>
      <c r="AU18" s="79">
        <v>0</v>
      </c>
      <c r="AV18" s="79">
        <v>0</v>
      </c>
      <c r="AW18" s="79">
        <v>0</v>
      </c>
      <c r="AX18" s="79">
        <v>0</v>
      </c>
      <c r="AY18" s="79">
        <v>0</v>
      </c>
      <c r="AZ18" s="79">
        <v>0</v>
      </c>
      <c r="BA18" s="79">
        <v>0</v>
      </c>
      <c r="BB18" s="79">
        <v>0</v>
      </c>
      <c r="BC18" s="79">
        <v>0</v>
      </c>
      <c r="BD18" s="79">
        <v>0</v>
      </c>
      <c r="BE18" s="79">
        <v>0</v>
      </c>
      <c r="BF18" s="79">
        <v>0</v>
      </c>
      <c r="BG18" s="79">
        <v>0</v>
      </c>
      <c r="BH18" s="79">
        <v>0</v>
      </c>
      <c r="BI18" s="79">
        <v>0</v>
      </c>
      <c r="BJ18" s="79">
        <v>0</v>
      </c>
      <c r="BK18" s="79">
        <v>0</v>
      </c>
      <c r="BL18" s="79">
        <v>0</v>
      </c>
      <c r="BM18" s="79">
        <v>0</v>
      </c>
    </row>
    <row r="19" spans="1:65" x14ac:dyDescent="0.25">
      <c r="A19" s="60">
        <f t="shared" si="3"/>
        <v>0</v>
      </c>
      <c r="B19" s="58" t="str">
        <f>'TB Data'!B24</f>
        <v>1117</v>
      </c>
      <c r="C19" s="60">
        <f t="shared" si="2"/>
        <v>1</v>
      </c>
      <c r="D19" s="84" t="s">
        <v>320</v>
      </c>
      <c r="E19" s="79">
        <v>0</v>
      </c>
      <c r="F19" s="79">
        <v>0</v>
      </c>
      <c r="G19" s="79">
        <v>0</v>
      </c>
      <c r="H19" s="79">
        <v>0</v>
      </c>
      <c r="I19" s="79">
        <v>0</v>
      </c>
      <c r="J19" s="79">
        <v>1</v>
      </c>
      <c r="K19" s="79">
        <v>0</v>
      </c>
      <c r="L19" s="79">
        <v>0</v>
      </c>
      <c r="M19" s="79">
        <v>0</v>
      </c>
      <c r="N19" s="79">
        <v>0</v>
      </c>
      <c r="O19" s="79">
        <v>0</v>
      </c>
      <c r="P19" s="79">
        <v>0</v>
      </c>
      <c r="Q19" s="79">
        <v>0</v>
      </c>
      <c r="R19" s="79">
        <v>0</v>
      </c>
      <c r="S19" s="79">
        <v>0</v>
      </c>
      <c r="T19" s="79">
        <v>0</v>
      </c>
      <c r="U19" s="79">
        <v>0</v>
      </c>
      <c r="V19" s="79">
        <v>0</v>
      </c>
      <c r="W19" s="79">
        <v>0</v>
      </c>
      <c r="X19" s="79">
        <v>0</v>
      </c>
      <c r="Y19" s="79">
        <v>0</v>
      </c>
      <c r="Z19" s="79">
        <v>0</v>
      </c>
      <c r="AA19" s="79">
        <v>0</v>
      </c>
      <c r="AB19" s="79">
        <v>0</v>
      </c>
      <c r="AC19" s="79">
        <v>0</v>
      </c>
      <c r="AD19" s="79">
        <v>0</v>
      </c>
      <c r="AE19" s="79">
        <v>0</v>
      </c>
      <c r="AF19" s="79">
        <v>0</v>
      </c>
      <c r="AG19" s="79">
        <v>0</v>
      </c>
      <c r="AH19" s="79">
        <v>0</v>
      </c>
      <c r="AI19" s="79">
        <v>0</v>
      </c>
      <c r="AJ19" s="79">
        <v>0</v>
      </c>
      <c r="AK19" s="79">
        <v>0</v>
      </c>
      <c r="AL19" s="79">
        <v>0</v>
      </c>
      <c r="AM19" s="79">
        <v>0</v>
      </c>
      <c r="AN19" s="79">
        <v>0</v>
      </c>
      <c r="AO19" s="79">
        <v>0</v>
      </c>
      <c r="AP19" s="79">
        <v>0</v>
      </c>
      <c r="AQ19" s="79">
        <v>0</v>
      </c>
      <c r="AR19" s="79">
        <v>0</v>
      </c>
      <c r="AS19" s="79">
        <v>0</v>
      </c>
      <c r="AT19" s="79">
        <v>0</v>
      </c>
      <c r="AU19" s="79">
        <v>0</v>
      </c>
      <c r="AV19" s="79">
        <v>0</v>
      </c>
      <c r="AW19" s="79">
        <v>0</v>
      </c>
      <c r="AX19" s="79">
        <v>0</v>
      </c>
      <c r="AY19" s="79">
        <v>0</v>
      </c>
      <c r="AZ19" s="79">
        <v>0</v>
      </c>
      <c r="BA19" s="79">
        <v>0</v>
      </c>
      <c r="BB19" s="79">
        <v>0</v>
      </c>
      <c r="BC19" s="79">
        <v>0</v>
      </c>
      <c r="BD19" s="79">
        <v>0</v>
      </c>
      <c r="BE19" s="79">
        <v>0</v>
      </c>
      <c r="BF19" s="79">
        <v>0</v>
      </c>
      <c r="BG19" s="79">
        <v>0</v>
      </c>
      <c r="BH19" s="79">
        <v>0</v>
      </c>
      <c r="BI19" s="79">
        <v>0</v>
      </c>
      <c r="BJ19" s="79">
        <v>0</v>
      </c>
      <c r="BK19" s="79">
        <v>0</v>
      </c>
      <c r="BL19" s="79">
        <v>0</v>
      </c>
      <c r="BM19" s="79">
        <v>0</v>
      </c>
    </row>
    <row r="20" spans="1:65" x14ac:dyDescent="0.25">
      <c r="A20" s="60">
        <f t="shared" si="3"/>
        <v>0</v>
      </c>
      <c r="B20" s="58" t="str">
        <f>'TB Data'!B25</f>
        <v>1120</v>
      </c>
      <c r="C20" s="60">
        <f t="shared" si="2"/>
        <v>1</v>
      </c>
      <c r="D20" s="84" t="s">
        <v>117</v>
      </c>
      <c r="E20" s="79">
        <v>0</v>
      </c>
      <c r="F20" s="79">
        <v>0</v>
      </c>
      <c r="G20" s="79">
        <v>0</v>
      </c>
      <c r="H20" s="79">
        <v>0</v>
      </c>
      <c r="I20" s="79">
        <v>1</v>
      </c>
      <c r="J20" s="79">
        <v>0</v>
      </c>
      <c r="K20" s="79">
        <v>0</v>
      </c>
      <c r="L20" s="79">
        <v>0</v>
      </c>
      <c r="M20" s="79">
        <v>0</v>
      </c>
      <c r="N20" s="79">
        <v>0</v>
      </c>
      <c r="O20" s="79">
        <v>0</v>
      </c>
      <c r="P20" s="79">
        <v>0</v>
      </c>
      <c r="Q20" s="79">
        <v>0</v>
      </c>
      <c r="R20" s="79">
        <v>0</v>
      </c>
      <c r="S20" s="79">
        <v>0</v>
      </c>
      <c r="T20" s="79">
        <v>0</v>
      </c>
      <c r="U20" s="79">
        <v>0</v>
      </c>
      <c r="V20" s="79">
        <v>0</v>
      </c>
      <c r="W20" s="79">
        <v>0</v>
      </c>
      <c r="X20" s="79">
        <v>0</v>
      </c>
      <c r="Y20" s="79">
        <v>0</v>
      </c>
      <c r="Z20" s="79">
        <v>0</v>
      </c>
      <c r="AA20" s="79">
        <v>0</v>
      </c>
      <c r="AB20" s="79">
        <v>0</v>
      </c>
      <c r="AC20" s="79">
        <v>0</v>
      </c>
      <c r="AD20" s="79">
        <v>0</v>
      </c>
      <c r="AE20" s="79">
        <v>0</v>
      </c>
      <c r="AF20" s="79">
        <v>0</v>
      </c>
      <c r="AG20" s="79">
        <v>0</v>
      </c>
      <c r="AH20" s="79">
        <v>0</v>
      </c>
      <c r="AI20" s="79">
        <v>0</v>
      </c>
      <c r="AJ20" s="79">
        <v>0</v>
      </c>
      <c r="AK20" s="79">
        <v>0</v>
      </c>
      <c r="AL20" s="79">
        <v>0</v>
      </c>
      <c r="AM20" s="79">
        <v>0</v>
      </c>
      <c r="AN20" s="79">
        <v>0</v>
      </c>
      <c r="AO20" s="79">
        <v>0</v>
      </c>
      <c r="AP20" s="79">
        <v>0</v>
      </c>
      <c r="AQ20" s="79">
        <v>0</v>
      </c>
      <c r="AR20" s="79">
        <v>0</v>
      </c>
      <c r="AS20" s="79">
        <v>0</v>
      </c>
      <c r="AT20" s="79">
        <v>0</v>
      </c>
      <c r="AU20" s="79">
        <v>0</v>
      </c>
      <c r="AV20" s="79">
        <v>0</v>
      </c>
      <c r="AW20" s="79">
        <v>0</v>
      </c>
      <c r="AX20" s="79">
        <v>0</v>
      </c>
      <c r="AY20" s="79">
        <v>0</v>
      </c>
      <c r="AZ20" s="79">
        <v>0</v>
      </c>
      <c r="BA20" s="79">
        <v>0</v>
      </c>
      <c r="BB20" s="79">
        <v>0</v>
      </c>
      <c r="BC20" s="79">
        <v>0</v>
      </c>
      <c r="BD20" s="79">
        <v>0</v>
      </c>
      <c r="BE20" s="79">
        <v>0</v>
      </c>
      <c r="BF20" s="79">
        <v>0</v>
      </c>
      <c r="BG20" s="79">
        <v>0</v>
      </c>
      <c r="BH20" s="79">
        <v>0</v>
      </c>
      <c r="BI20" s="79">
        <v>0</v>
      </c>
      <c r="BJ20" s="79">
        <v>0</v>
      </c>
      <c r="BK20" s="79">
        <v>0</v>
      </c>
      <c r="BL20" s="79">
        <v>0</v>
      </c>
      <c r="BM20" s="79">
        <v>0</v>
      </c>
    </row>
    <row r="21" spans="1:65" x14ac:dyDescent="0.25">
      <c r="A21" s="60">
        <f t="shared" si="3"/>
        <v>0</v>
      </c>
      <c r="B21" s="58" t="str">
        <f>'TB Data'!B26</f>
        <v>1200</v>
      </c>
      <c r="C21" s="60">
        <f t="shared" si="2"/>
        <v>1</v>
      </c>
      <c r="D21" s="84" t="s">
        <v>116</v>
      </c>
      <c r="E21" s="79">
        <v>0</v>
      </c>
      <c r="F21" s="79">
        <v>0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0</v>
      </c>
      <c r="N21" s="79">
        <v>0</v>
      </c>
      <c r="O21" s="79">
        <v>0</v>
      </c>
      <c r="P21" s="79">
        <v>0</v>
      </c>
      <c r="Q21" s="79">
        <v>0</v>
      </c>
      <c r="R21" s="79">
        <v>0</v>
      </c>
      <c r="S21" s="79">
        <v>0</v>
      </c>
      <c r="T21" s="79">
        <v>0</v>
      </c>
      <c r="U21" s="79">
        <v>0</v>
      </c>
      <c r="V21" s="79">
        <v>0</v>
      </c>
      <c r="W21" s="79">
        <v>0</v>
      </c>
      <c r="X21" s="79">
        <v>0</v>
      </c>
      <c r="Y21" s="79">
        <v>0</v>
      </c>
      <c r="Z21" s="79">
        <v>0</v>
      </c>
      <c r="AA21" s="79">
        <v>0</v>
      </c>
      <c r="AB21" s="79">
        <v>0</v>
      </c>
      <c r="AC21" s="79">
        <v>0</v>
      </c>
      <c r="AD21" s="79">
        <v>0</v>
      </c>
      <c r="AE21" s="79">
        <v>0</v>
      </c>
      <c r="AF21" s="79">
        <v>0</v>
      </c>
      <c r="AG21" s="79">
        <v>0</v>
      </c>
      <c r="AH21" s="79">
        <v>0</v>
      </c>
      <c r="AI21" s="79">
        <v>0</v>
      </c>
      <c r="AJ21" s="79">
        <v>0</v>
      </c>
      <c r="AK21" s="79">
        <v>0</v>
      </c>
      <c r="AL21" s="79">
        <v>0</v>
      </c>
      <c r="AM21" s="79">
        <v>0</v>
      </c>
      <c r="AN21" s="79">
        <v>0</v>
      </c>
      <c r="AO21" s="79">
        <v>0</v>
      </c>
      <c r="AP21" s="79">
        <v>0</v>
      </c>
      <c r="AQ21" s="79">
        <v>0</v>
      </c>
      <c r="AR21" s="79">
        <v>0</v>
      </c>
      <c r="AS21" s="79">
        <v>0</v>
      </c>
      <c r="AT21" s="79">
        <v>0</v>
      </c>
      <c r="AU21" s="79">
        <v>0</v>
      </c>
      <c r="AV21" s="79">
        <v>0</v>
      </c>
      <c r="AW21" s="79">
        <v>0</v>
      </c>
      <c r="AX21" s="79">
        <v>0</v>
      </c>
      <c r="AY21" s="79">
        <v>0</v>
      </c>
      <c r="AZ21" s="79">
        <v>0</v>
      </c>
      <c r="BA21" s="79">
        <v>0</v>
      </c>
      <c r="BB21" s="79">
        <v>0</v>
      </c>
      <c r="BC21" s="79">
        <v>0</v>
      </c>
      <c r="BD21" s="79">
        <v>0</v>
      </c>
      <c r="BE21" s="79">
        <v>0</v>
      </c>
      <c r="BF21" s="79">
        <v>0</v>
      </c>
      <c r="BG21" s="79">
        <v>0</v>
      </c>
      <c r="BH21" s="79">
        <v>0</v>
      </c>
      <c r="BI21" s="79">
        <v>0</v>
      </c>
      <c r="BJ21" s="79">
        <v>0</v>
      </c>
      <c r="BK21" s="79">
        <v>0</v>
      </c>
      <c r="BL21" s="79">
        <v>0</v>
      </c>
      <c r="BM21" s="79">
        <v>0</v>
      </c>
    </row>
    <row r="22" spans="1:65" x14ac:dyDescent="0.25">
      <c r="A22" s="60">
        <f t="shared" si="3"/>
        <v>0</v>
      </c>
      <c r="B22" s="58" t="str">
        <f>'TB Data'!B27</f>
        <v>1205</v>
      </c>
      <c r="C22" s="60">
        <f t="shared" si="2"/>
        <v>1</v>
      </c>
      <c r="D22" s="84" t="s">
        <v>144</v>
      </c>
      <c r="E22" s="79">
        <v>0</v>
      </c>
      <c r="F22" s="79">
        <v>0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0</v>
      </c>
      <c r="N22" s="79">
        <v>0</v>
      </c>
      <c r="O22" s="79">
        <v>0</v>
      </c>
      <c r="P22" s="79">
        <v>0</v>
      </c>
      <c r="Q22" s="79">
        <v>0</v>
      </c>
      <c r="R22" s="79">
        <v>0</v>
      </c>
      <c r="S22" s="79">
        <v>0</v>
      </c>
      <c r="T22" s="79">
        <v>0</v>
      </c>
      <c r="U22" s="79">
        <v>0</v>
      </c>
      <c r="V22" s="79">
        <v>0</v>
      </c>
      <c r="W22" s="79">
        <v>0</v>
      </c>
      <c r="X22" s="79">
        <v>0</v>
      </c>
      <c r="Y22" s="79">
        <v>0</v>
      </c>
      <c r="Z22" s="79">
        <v>0</v>
      </c>
      <c r="AA22" s="79">
        <v>0</v>
      </c>
      <c r="AB22" s="79">
        <v>0</v>
      </c>
      <c r="AC22" s="79">
        <v>0</v>
      </c>
      <c r="AD22" s="79">
        <v>0</v>
      </c>
      <c r="AE22" s="79">
        <v>0</v>
      </c>
      <c r="AF22" s="79">
        <v>0</v>
      </c>
      <c r="AG22" s="79">
        <v>0</v>
      </c>
      <c r="AH22" s="79">
        <v>0</v>
      </c>
      <c r="AI22" s="79">
        <v>0</v>
      </c>
      <c r="AJ22" s="79">
        <v>0</v>
      </c>
      <c r="AK22" s="79">
        <v>0</v>
      </c>
      <c r="AL22" s="79">
        <v>0</v>
      </c>
      <c r="AM22" s="79">
        <v>0</v>
      </c>
      <c r="AN22" s="79">
        <v>0</v>
      </c>
      <c r="AO22" s="79">
        <v>0</v>
      </c>
      <c r="AP22" s="79">
        <v>0</v>
      </c>
      <c r="AQ22" s="79">
        <v>0</v>
      </c>
      <c r="AR22" s="79">
        <v>0</v>
      </c>
      <c r="AS22" s="79">
        <v>0</v>
      </c>
      <c r="AT22" s="79">
        <v>0</v>
      </c>
      <c r="AU22" s="79">
        <v>0</v>
      </c>
      <c r="AV22" s="79">
        <v>0</v>
      </c>
      <c r="AW22" s="79">
        <v>0</v>
      </c>
      <c r="AX22" s="79">
        <v>0</v>
      </c>
      <c r="AY22" s="79">
        <v>0</v>
      </c>
      <c r="AZ22" s="79">
        <v>0</v>
      </c>
      <c r="BA22" s="79">
        <v>0</v>
      </c>
      <c r="BB22" s="79">
        <v>0</v>
      </c>
      <c r="BC22" s="79">
        <v>0</v>
      </c>
      <c r="BD22" s="79">
        <v>0</v>
      </c>
      <c r="BE22" s="79">
        <v>0</v>
      </c>
      <c r="BF22" s="79">
        <v>0</v>
      </c>
      <c r="BG22" s="79">
        <v>0</v>
      </c>
      <c r="BH22" s="79">
        <v>0</v>
      </c>
      <c r="BI22" s="79">
        <v>0</v>
      </c>
      <c r="BJ22" s="79">
        <v>0</v>
      </c>
      <c r="BK22" s="79">
        <v>0</v>
      </c>
      <c r="BL22" s="79">
        <v>0</v>
      </c>
      <c r="BM22" s="79">
        <v>0</v>
      </c>
    </row>
    <row r="23" spans="1:65" x14ac:dyDescent="0.25">
      <c r="A23" s="60">
        <f t="shared" si="3"/>
        <v>0</v>
      </c>
      <c r="B23" s="58" t="str">
        <f>'TB Data'!B28</f>
        <v>1207</v>
      </c>
      <c r="C23" s="60">
        <f t="shared" si="2"/>
        <v>1</v>
      </c>
      <c r="D23" s="84" t="s">
        <v>224</v>
      </c>
      <c r="E23" s="79">
        <v>0</v>
      </c>
      <c r="F23" s="79">
        <v>0</v>
      </c>
      <c r="G23" s="79">
        <v>0</v>
      </c>
      <c r="H23" s="79">
        <v>0</v>
      </c>
      <c r="I23" s="79">
        <v>0</v>
      </c>
      <c r="J23" s="79">
        <v>0</v>
      </c>
      <c r="K23" s="79">
        <v>0</v>
      </c>
      <c r="L23" s="79">
        <v>1</v>
      </c>
      <c r="M23" s="79">
        <v>0</v>
      </c>
      <c r="N23" s="79">
        <v>0</v>
      </c>
      <c r="O23" s="79">
        <v>0</v>
      </c>
      <c r="P23" s="79">
        <v>0</v>
      </c>
      <c r="Q23" s="79">
        <v>0</v>
      </c>
      <c r="R23" s="79">
        <v>0</v>
      </c>
      <c r="S23" s="79">
        <v>0</v>
      </c>
      <c r="T23" s="79">
        <v>0</v>
      </c>
      <c r="U23" s="79">
        <v>0</v>
      </c>
      <c r="V23" s="79">
        <v>0</v>
      </c>
      <c r="W23" s="79">
        <v>0</v>
      </c>
      <c r="X23" s="79">
        <v>0</v>
      </c>
      <c r="Y23" s="79">
        <v>0</v>
      </c>
      <c r="Z23" s="79">
        <v>0</v>
      </c>
      <c r="AA23" s="79">
        <v>0</v>
      </c>
      <c r="AB23" s="79">
        <v>0</v>
      </c>
      <c r="AC23" s="79">
        <v>0</v>
      </c>
      <c r="AD23" s="79">
        <v>0</v>
      </c>
      <c r="AE23" s="79">
        <v>0</v>
      </c>
      <c r="AF23" s="79">
        <v>0</v>
      </c>
      <c r="AG23" s="79">
        <v>0</v>
      </c>
      <c r="AH23" s="79">
        <v>0</v>
      </c>
      <c r="AI23" s="79">
        <v>0</v>
      </c>
      <c r="AJ23" s="79">
        <v>0</v>
      </c>
      <c r="AK23" s="79">
        <v>0</v>
      </c>
      <c r="AL23" s="79">
        <v>0</v>
      </c>
      <c r="AM23" s="79">
        <v>0</v>
      </c>
      <c r="AN23" s="79">
        <v>0</v>
      </c>
      <c r="AO23" s="79">
        <v>0</v>
      </c>
      <c r="AP23" s="79">
        <v>0</v>
      </c>
      <c r="AQ23" s="79">
        <v>0</v>
      </c>
      <c r="AR23" s="79">
        <v>0</v>
      </c>
      <c r="AS23" s="79">
        <v>0</v>
      </c>
      <c r="AT23" s="79">
        <v>0</v>
      </c>
      <c r="AU23" s="79">
        <v>0</v>
      </c>
      <c r="AV23" s="79">
        <v>0</v>
      </c>
      <c r="AW23" s="79">
        <v>0</v>
      </c>
      <c r="AX23" s="79">
        <v>0</v>
      </c>
      <c r="AY23" s="79">
        <v>0</v>
      </c>
      <c r="AZ23" s="79">
        <v>0</v>
      </c>
      <c r="BA23" s="79">
        <v>0</v>
      </c>
      <c r="BB23" s="79">
        <v>0</v>
      </c>
      <c r="BC23" s="79">
        <v>0</v>
      </c>
      <c r="BD23" s="79">
        <v>0</v>
      </c>
      <c r="BE23" s="79">
        <v>0</v>
      </c>
      <c r="BF23" s="79">
        <v>0</v>
      </c>
      <c r="BG23" s="79">
        <v>0</v>
      </c>
      <c r="BH23" s="79">
        <v>0</v>
      </c>
      <c r="BI23" s="79">
        <v>0</v>
      </c>
      <c r="BJ23" s="79">
        <v>0</v>
      </c>
      <c r="BK23" s="79">
        <v>0</v>
      </c>
      <c r="BL23" s="79">
        <v>0</v>
      </c>
      <c r="BM23" s="79">
        <v>0</v>
      </c>
    </row>
    <row r="24" spans="1:65" x14ac:dyDescent="0.25">
      <c r="A24" s="60">
        <f t="shared" si="3"/>
        <v>0</v>
      </c>
      <c r="B24" s="58" t="str">
        <f>'TB Data'!B29</f>
        <v>1210</v>
      </c>
      <c r="C24" s="60">
        <f t="shared" si="2"/>
        <v>1</v>
      </c>
      <c r="D24" s="84" t="s">
        <v>225</v>
      </c>
      <c r="E24" s="79">
        <v>0</v>
      </c>
      <c r="F24" s="79">
        <v>0</v>
      </c>
      <c r="G24" s="79">
        <v>0</v>
      </c>
      <c r="H24" s="79">
        <v>0</v>
      </c>
      <c r="I24" s="79">
        <v>0</v>
      </c>
      <c r="J24" s="79">
        <v>0</v>
      </c>
      <c r="K24" s="79">
        <v>0</v>
      </c>
      <c r="L24" s="79">
        <v>1</v>
      </c>
      <c r="M24" s="79">
        <v>0</v>
      </c>
      <c r="N24" s="79">
        <v>0</v>
      </c>
      <c r="O24" s="79">
        <v>0</v>
      </c>
      <c r="P24" s="79">
        <v>0</v>
      </c>
      <c r="Q24" s="79">
        <v>0</v>
      </c>
      <c r="R24" s="79">
        <v>0</v>
      </c>
      <c r="S24" s="79">
        <v>0</v>
      </c>
      <c r="T24" s="79">
        <v>0</v>
      </c>
      <c r="U24" s="79">
        <v>0</v>
      </c>
      <c r="V24" s="79">
        <v>0</v>
      </c>
      <c r="W24" s="79">
        <v>0</v>
      </c>
      <c r="X24" s="79">
        <v>0</v>
      </c>
      <c r="Y24" s="79">
        <v>0</v>
      </c>
      <c r="Z24" s="79">
        <v>0</v>
      </c>
      <c r="AA24" s="79">
        <v>0</v>
      </c>
      <c r="AB24" s="79">
        <v>0</v>
      </c>
      <c r="AC24" s="79">
        <v>0</v>
      </c>
      <c r="AD24" s="79">
        <v>0</v>
      </c>
      <c r="AE24" s="79">
        <v>0</v>
      </c>
      <c r="AF24" s="79">
        <v>0</v>
      </c>
      <c r="AG24" s="79">
        <v>0</v>
      </c>
      <c r="AH24" s="79">
        <v>0</v>
      </c>
      <c r="AI24" s="79">
        <v>0</v>
      </c>
      <c r="AJ24" s="79">
        <v>0</v>
      </c>
      <c r="AK24" s="79">
        <v>0</v>
      </c>
      <c r="AL24" s="79">
        <v>0</v>
      </c>
      <c r="AM24" s="79">
        <v>0</v>
      </c>
      <c r="AN24" s="79">
        <v>0</v>
      </c>
      <c r="AO24" s="79">
        <v>0</v>
      </c>
      <c r="AP24" s="79">
        <v>0</v>
      </c>
      <c r="AQ24" s="79">
        <v>0</v>
      </c>
      <c r="AR24" s="79">
        <v>0</v>
      </c>
      <c r="AS24" s="79">
        <v>0</v>
      </c>
      <c r="AT24" s="79">
        <v>0</v>
      </c>
      <c r="AU24" s="79">
        <v>0</v>
      </c>
      <c r="AV24" s="79">
        <v>0</v>
      </c>
      <c r="AW24" s="79">
        <v>0</v>
      </c>
      <c r="AX24" s="79">
        <v>0</v>
      </c>
      <c r="AY24" s="79">
        <v>0</v>
      </c>
      <c r="AZ24" s="79">
        <v>0</v>
      </c>
      <c r="BA24" s="79">
        <v>0</v>
      </c>
      <c r="BB24" s="79">
        <v>0</v>
      </c>
      <c r="BC24" s="79">
        <v>0</v>
      </c>
      <c r="BD24" s="79">
        <v>0</v>
      </c>
      <c r="BE24" s="79">
        <v>0</v>
      </c>
      <c r="BF24" s="79">
        <v>0</v>
      </c>
      <c r="BG24" s="79">
        <v>0</v>
      </c>
      <c r="BH24" s="79">
        <v>0</v>
      </c>
      <c r="BI24" s="79">
        <v>0</v>
      </c>
      <c r="BJ24" s="79">
        <v>0</v>
      </c>
      <c r="BK24" s="79">
        <v>0</v>
      </c>
      <c r="BL24" s="79">
        <v>0</v>
      </c>
      <c r="BM24" s="79">
        <v>0</v>
      </c>
    </row>
    <row r="25" spans="1:65" x14ac:dyDescent="0.25">
      <c r="A25" s="60">
        <f t="shared" si="3"/>
        <v>0</v>
      </c>
      <c r="B25" s="58" t="str">
        <f>'TB Data'!B30</f>
        <v>1212</v>
      </c>
      <c r="C25" s="60">
        <f t="shared" si="2"/>
        <v>1</v>
      </c>
      <c r="D25" s="84" t="s">
        <v>115</v>
      </c>
      <c r="E25" s="79">
        <v>0</v>
      </c>
      <c r="F25" s="79">
        <v>0</v>
      </c>
      <c r="G25" s="79">
        <v>0</v>
      </c>
      <c r="H25" s="79">
        <v>0</v>
      </c>
      <c r="I25" s="79">
        <v>0</v>
      </c>
      <c r="J25" s="79">
        <v>0</v>
      </c>
      <c r="K25" s="79">
        <v>0</v>
      </c>
      <c r="L25" s="79">
        <v>1</v>
      </c>
      <c r="M25" s="79">
        <v>0</v>
      </c>
      <c r="N25" s="79">
        <v>0</v>
      </c>
      <c r="O25" s="79">
        <v>0</v>
      </c>
      <c r="P25" s="79">
        <v>0</v>
      </c>
      <c r="Q25" s="79">
        <v>0</v>
      </c>
      <c r="R25" s="79">
        <v>0</v>
      </c>
      <c r="S25" s="79">
        <v>0</v>
      </c>
      <c r="T25" s="79">
        <v>0</v>
      </c>
      <c r="U25" s="79">
        <v>0</v>
      </c>
      <c r="V25" s="79">
        <v>0</v>
      </c>
      <c r="W25" s="79">
        <v>0</v>
      </c>
      <c r="X25" s="79">
        <v>0</v>
      </c>
      <c r="Y25" s="79">
        <v>0</v>
      </c>
      <c r="Z25" s="79">
        <v>0</v>
      </c>
      <c r="AA25" s="79">
        <v>0</v>
      </c>
      <c r="AB25" s="79">
        <v>0</v>
      </c>
      <c r="AC25" s="79">
        <v>0</v>
      </c>
      <c r="AD25" s="79">
        <v>0</v>
      </c>
      <c r="AE25" s="79">
        <v>0</v>
      </c>
      <c r="AF25" s="79">
        <v>0</v>
      </c>
      <c r="AG25" s="79">
        <v>0</v>
      </c>
      <c r="AH25" s="79">
        <v>0</v>
      </c>
      <c r="AI25" s="79">
        <v>0</v>
      </c>
      <c r="AJ25" s="79">
        <v>0</v>
      </c>
      <c r="AK25" s="79">
        <v>0</v>
      </c>
      <c r="AL25" s="79">
        <v>0</v>
      </c>
      <c r="AM25" s="79">
        <v>0</v>
      </c>
      <c r="AN25" s="79">
        <v>0</v>
      </c>
      <c r="AO25" s="79">
        <v>0</v>
      </c>
      <c r="AP25" s="79">
        <v>0</v>
      </c>
      <c r="AQ25" s="79">
        <v>0</v>
      </c>
      <c r="AR25" s="79">
        <v>0</v>
      </c>
      <c r="AS25" s="79">
        <v>0</v>
      </c>
      <c r="AT25" s="79">
        <v>0</v>
      </c>
      <c r="AU25" s="79">
        <v>0</v>
      </c>
      <c r="AV25" s="79">
        <v>0</v>
      </c>
      <c r="AW25" s="79">
        <v>0</v>
      </c>
      <c r="AX25" s="79">
        <v>0</v>
      </c>
      <c r="AY25" s="79">
        <v>0</v>
      </c>
      <c r="AZ25" s="79">
        <v>0</v>
      </c>
      <c r="BA25" s="79">
        <v>0</v>
      </c>
      <c r="BB25" s="79">
        <v>0</v>
      </c>
      <c r="BC25" s="79">
        <v>0</v>
      </c>
      <c r="BD25" s="79">
        <v>0</v>
      </c>
      <c r="BE25" s="79">
        <v>0</v>
      </c>
      <c r="BF25" s="79">
        <v>0</v>
      </c>
      <c r="BG25" s="79">
        <v>0</v>
      </c>
      <c r="BH25" s="79">
        <v>0</v>
      </c>
      <c r="BI25" s="79">
        <v>0</v>
      </c>
      <c r="BJ25" s="79">
        <v>0</v>
      </c>
      <c r="BK25" s="79">
        <v>0</v>
      </c>
      <c r="BL25" s="79">
        <v>0</v>
      </c>
      <c r="BM25" s="79">
        <v>0</v>
      </c>
    </row>
    <row r="26" spans="1:65" x14ac:dyDescent="0.25">
      <c r="A26" s="60">
        <f t="shared" si="3"/>
        <v>0</v>
      </c>
      <c r="B26" s="58" t="str">
        <f>'TB Data'!B31</f>
        <v>1220</v>
      </c>
      <c r="C26" s="60">
        <f t="shared" si="2"/>
        <v>1</v>
      </c>
      <c r="D26" s="84" t="s">
        <v>226</v>
      </c>
      <c r="E26" s="79">
        <v>0</v>
      </c>
      <c r="F26" s="79">
        <v>0</v>
      </c>
      <c r="G26" s="79">
        <v>0</v>
      </c>
      <c r="H26" s="79">
        <v>0</v>
      </c>
      <c r="I26" s="79">
        <v>0</v>
      </c>
      <c r="J26" s="79">
        <v>0</v>
      </c>
      <c r="K26" s="79">
        <v>0</v>
      </c>
      <c r="L26" s="79">
        <v>0</v>
      </c>
      <c r="M26" s="79">
        <v>1</v>
      </c>
      <c r="N26" s="79">
        <v>0</v>
      </c>
      <c r="O26" s="79">
        <v>0</v>
      </c>
      <c r="P26" s="79">
        <v>0</v>
      </c>
      <c r="Q26" s="79">
        <v>0</v>
      </c>
      <c r="R26" s="79">
        <v>0</v>
      </c>
      <c r="S26" s="79">
        <v>0</v>
      </c>
      <c r="T26" s="79">
        <v>0</v>
      </c>
      <c r="U26" s="79">
        <v>0</v>
      </c>
      <c r="V26" s="79">
        <v>0</v>
      </c>
      <c r="W26" s="79">
        <v>0</v>
      </c>
      <c r="X26" s="79">
        <v>0</v>
      </c>
      <c r="Y26" s="79">
        <v>0</v>
      </c>
      <c r="Z26" s="79">
        <v>0</v>
      </c>
      <c r="AA26" s="79">
        <v>0</v>
      </c>
      <c r="AB26" s="79">
        <v>0</v>
      </c>
      <c r="AC26" s="79">
        <v>0</v>
      </c>
      <c r="AD26" s="79">
        <v>0</v>
      </c>
      <c r="AE26" s="79">
        <v>0</v>
      </c>
      <c r="AF26" s="79">
        <v>0</v>
      </c>
      <c r="AG26" s="79">
        <v>0</v>
      </c>
      <c r="AH26" s="79">
        <v>0</v>
      </c>
      <c r="AI26" s="79">
        <v>0</v>
      </c>
      <c r="AJ26" s="79">
        <v>0</v>
      </c>
      <c r="AK26" s="79">
        <v>0</v>
      </c>
      <c r="AL26" s="79">
        <v>0</v>
      </c>
      <c r="AM26" s="79">
        <v>0</v>
      </c>
      <c r="AN26" s="79">
        <v>0</v>
      </c>
      <c r="AO26" s="79">
        <v>0</v>
      </c>
      <c r="AP26" s="79">
        <v>0</v>
      </c>
      <c r="AQ26" s="79">
        <v>0</v>
      </c>
      <c r="AR26" s="79">
        <v>0</v>
      </c>
      <c r="AS26" s="79">
        <v>0</v>
      </c>
      <c r="AT26" s="79">
        <v>0</v>
      </c>
      <c r="AU26" s="79">
        <v>0</v>
      </c>
      <c r="AV26" s="79">
        <v>0</v>
      </c>
      <c r="AW26" s="79">
        <v>0</v>
      </c>
      <c r="AX26" s="79">
        <v>0</v>
      </c>
      <c r="AY26" s="79">
        <v>0</v>
      </c>
      <c r="AZ26" s="79">
        <v>0</v>
      </c>
      <c r="BA26" s="79">
        <v>0</v>
      </c>
      <c r="BB26" s="79">
        <v>0</v>
      </c>
      <c r="BC26" s="79">
        <v>0</v>
      </c>
      <c r="BD26" s="79">
        <v>0</v>
      </c>
      <c r="BE26" s="79">
        <v>0</v>
      </c>
      <c r="BF26" s="79">
        <v>0</v>
      </c>
      <c r="BG26" s="79">
        <v>0</v>
      </c>
      <c r="BH26" s="79">
        <v>0</v>
      </c>
      <c r="BI26" s="79">
        <v>0</v>
      </c>
      <c r="BJ26" s="79">
        <v>0</v>
      </c>
      <c r="BK26" s="79">
        <v>0</v>
      </c>
      <c r="BL26" s="79">
        <v>0</v>
      </c>
      <c r="BM26" s="79">
        <v>0</v>
      </c>
    </row>
    <row r="27" spans="1:65" x14ac:dyDescent="0.25">
      <c r="A27" s="60">
        <f t="shared" si="3"/>
        <v>0</v>
      </c>
      <c r="B27" s="58" t="str">
        <f>'TB Data'!B32</f>
        <v>1230</v>
      </c>
      <c r="C27" s="60">
        <f t="shared" si="2"/>
        <v>1</v>
      </c>
      <c r="D27" s="84" t="s">
        <v>227</v>
      </c>
      <c r="E27" s="79">
        <v>0</v>
      </c>
      <c r="F27" s="79">
        <v>0</v>
      </c>
      <c r="G27" s="79">
        <v>0</v>
      </c>
      <c r="H27" s="79">
        <v>0</v>
      </c>
      <c r="I27" s="79">
        <v>0</v>
      </c>
      <c r="J27" s="79">
        <v>0</v>
      </c>
      <c r="K27" s="79">
        <v>0</v>
      </c>
      <c r="L27" s="79">
        <v>0</v>
      </c>
      <c r="M27" s="79">
        <v>0</v>
      </c>
      <c r="N27" s="79">
        <v>1</v>
      </c>
      <c r="O27" s="79">
        <v>0</v>
      </c>
      <c r="P27" s="79">
        <v>0</v>
      </c>
      <c r="Q27" s="79">
        <v>0</v>
      </c>
      <c r="R27" s="79">
        <v>0</v>
      </c>
      <c r="S27" s="79">
        <v>0</v>
      </c>
      <c r="T27" s="79">
        <v>0</v>
      </c>
      <c r="U27" s="79">
        <v>0</v>
      </c>
      <c r="V27" s="79">
        <v>0</v>
      </c>
      <c r="W27" s="79">
        <v>0</v>
      </c>
      <c r="X27" s="79">
        <v>0</v>
      </c>
      <c r="Y27" s="79">
        <v>0</v>
      </c>
      <c r="Z27" s="79">
        <v>0</v>
      </c>
      <c r="AA27" s="79">
        <v>0</v>
      </c>
      <c r="AB27" s="79">
        <v>0</v>
      </c>
      <c r="AC27" s="79">
        <v>0</v>
      </c>
      <c r="AD27" s="79">
        <v>0</v>
      </c>
      <c r="AE27" s="79">
        <v>0</v>
      </c>
      <c r="AF27" s="79">
        <v>0</v>
      </c>
      <c r="AG27" s="79">
        <v>0</v>
      </c>
      <c r="AH27" s="79">
        <v>0</v>
      </c>
      <c r="AI27" s="79">
        <v>0</v>
      </c>
      <c r="AJ27" s="79">
        <v>0</v>
      </c>
      <c r="AK27" s="79">
        <v>0</v>
      </c>
      <c r="AL27" s="79">
        <v>0</v>
      </c>
      <c r="AM27" s="79">
        <v>0</v>
      </c>
      <c r="AN27" s="79">
        <v>0</v>
      </c>
      <c r="AO27" s="79">
        <v>0</v>
      </c>
      <c r="AP27" s="79">
        <v>0</v>
      </c>
      <c r="AQ27" s="79">
        <v>0</v>
      </c>
      <c r="AR27" s="79">
        <v>0</v>
      </c>
      <c r="AS27" s="79">
        <v>0</v>
      </c>
      <c r="AT27" s="79">
        <v>0</v>
      </c>
      <c r="AU27" s="79">
        <v>0</v>
      </c>
      <c r="AV27" s="79">
        <v>0</v>
      </c>
      <c r="AW27" s="79">
        <v>0</v>
      </c>
      <c r="AX27" s="79">
        <v>0</v>
      </c>
      <c r="AY27" s="79">
        <v>0</v>
      </c>
      <c r="AZ27" s="79">
        <v>0</v>
      </c>
      <c r="BA27" s="79">
        <v>0</v>
      </c>
      <c r="BB27" s="79">
        <v>0</v>
      </c>
      <c r="BC27" s="79">
        <v>0</v>
      </c>
      <c r="BD27" s="79">
        <v>0</v>
      </c>
      <c r="BE27" s="79">
        <v>0</v>
      </c>
      <c r="BF27" s="79">
        <v>0</v>
      </c>
      <c r="BG27" s="79">
        <v>0</v>
      </c>
      <c r="BH27" s="79">
        <v>0</v>
      </c>
      <c r="BI27" s="79">
        <v>0</v>
      </c>
      <c r="BJ27" s="79">
        <v>0</v>
      </c>
      <c r="BK27" s="79">
        <v>0</v>
      </c>
      <c r="BL27" s="79">
        <v>0</v>
      </c>
      <c r="BM27" s="79">
        <v>0</v>
      </c>
    </row>
    <row r="28" spans="1:65" x14ac:dyDescent="0.25">
      <c r="A28" s="60">
        <f t="shared" si="3"/>
        <v>0</v>
      </c>
      <c r="B28" s="58" t="str">
        <f>'TB Data'!B33</f>
        <v>1232</v>
      </c>
      <c r="C28" s="60">
        <f t="shared" si="2"/>
        <v>1</v>
      </c>
      <c r="D28" s="84" t="s">
        <v>228</v>
      </c>
      <c r="E28" s="79">
        <v>0</v>
      </c>
      <c r="F28" s="79">
        <v>0</v>
      </c>
      <c r="G28" s="79">
        <v>0</v>
      </c>
      <c r="H28" s="79">
        <v>0</v>
      </c>
      <c r="I28" s="79">
        <v>0</v>
      </c>
      <c r="J28" s="79">
        <v>0</v>
      </c>
      <c r="K28" s="79">
        <v>0</v>
      </c>
      <c r="L28" s="79">
        <v>0</v>
      </c>
      <c r="M28" s="79">
        <v>0</v>
      </c>
      <c r="N28" s="79">
        <v>1</v>
      </c>
      <c r="O28" s="79">
        <v>0</v>
      </c>
      <c r="P28" s="79">
        <v>0</v>
      </c>
      <c r="Q28" s="79">
        <v>0</v>
      </c>
      <c r="R28" s="79">
        <v>0</v>
      </c>
      <c r="S28" s="79">
        <v>0</v>
      </c>
      <c r="T28" s="79">
        <v>0</v>
      </c>
      <c r="U28" s="79">
        <v>0</v>
      </c>
      <c r="V28" s="79">
        <v>0</v>
      </c>
      <c r="W28" s="79">
        <v>0</v>
      </c>
      <c r="X28" s="79">
        <v>0</v>
      </c>
      <c r="Y28" s="79">
        <v>0</v>
      </c>
      <c r="Z28" s="79">
        <v>0</v>
      </c>
      <c r="AA28" s="79">
        <v>0</v>
      </c>
      <c r="AB28" s="79">
        <v>0</v>
      </c>
      <c r="AC28" s="79">
        <v>0</v>
      </c>
      <c r="AD28" s="79">
        <v>0</v>
      </c>
      <c r="AE28" s="79">
        <v>0</v>
      </c>
      <c r="AF28" s="79">
        <v>0</v>
      </c>
      <c r="AG28" s="79">
        <v>0</v>
      </c>
      <c r="AH28" s="79">
        <v>0</v>
      </c>
      <c r="AI28" s="79">
        <v>0</v>
      </c>
      <c r="AJ28" s="79">
        <v>0</v>
      </c>
      <c r="AK28" s="79">
        <v>0</v>
      </c>
      <c r="AL28" s="79">
        <v>0</v>
      </c>
      <c r="AM28" s="79">
        <v>0</v>
      </c>
      <c r="AN28" s="79">
        <v>0</v>
      </c>
      <c r="AO28" s="79">
        <v>0</v>
      </c>
      <c r="AP28" s="79">
        <v>0</v>
      </c>
      <c r="AQ28" s="79">
        <v>0</v>
      </c>
      <c r="AR28" s="79">
        <v>0</v>
      </c>
      <c r="AS28" s="79">
        <v>0</v>
      </c>
      <c r="AT28" s="79">
        <v>0</v>
      </c>
      <c r="AU28" s="79">
        <v>0</v>
      </c>
      <c r="AV28" s="79">
        <v>0</v>
      </c>
      <c r="AW28" s="79">
        <v>0</v>
      </c>
      <c r="AX28" s="79">
        <v>0</v>
      </c>
      <c r="AY28" s="79">
        <v>0</v>
      </c>
      <c r="AZ28" s="79">
        <v>0</v>
      </c>
      <c r="BA28" s="79">
        <v>0</v>
      </c>
      <c r="BB28" s="79">
        <v>0</v>
      </c>
      <c r="BC28" s="79">
        <v>0</v>
      </c>
      <c r="BD28" s="79">
        <v>0</v>
      </c>
      <c r="BE28" s="79">
        <v>0</v>
      </c>
      <c r="BF28" s="79">
        <v>0</v>
      </c>
      <c r="BG28" s="79">
        <v>0</v>
      </c>
      <c r="BH28" s="79">
        <v>0</v>
      </c>
      <c r="BI28" s="79">
        <v>0</v>
      </c>
      <c r="BJ28" s="79">
        <v>0</v>
      </c>
      <c r="BK28" s="79">
        <v>0</v>
      </c>
      <c r="BL28" s="79">
        <v>0</v>
      </c>
      <c r="BM28" s="79">
        <v>0</v>
      </c>
    </row>
    <row r="29" spans="1:65" x14ac:dyDescent="0.25">
      <c r="A29" s="60">
        <f t="shared" si="3"/>
        <v>0</v>
      </c>
      <c r="B29" s="58" t="str">
        <f>'TB Data'!B34</f>
        <v>1240</v>
      </c>
      <c r="C29" s="60">
        <f t="shared" si="2"/>
        <v>1</v>
      </c>
      <c r="D29" s="84" t="s">
        <v>158</v>
      </c>
      <c r="E29" s="79">
        <v>0</v>
      </c>
      <c r="F29" s="79">
        <v>0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0</v>
      </c>
      <c r="N29" s="79">
        <v>0</v>
      </c>
      <c r="O29" s="79">
        <v>0</v>
      </c>
      <c r="P29" s="79">
        <v>0</v>
      </c>
      <c r="Q29" s="79">
        <v>0</v>
      </c>
      <c r="R29" s="79">
        <v>0</v>
      </c>
      <c r="S29" s="79">
        <v>0</v>
      </c>
      <c r="T29" s="79">
        <v>0</v>
      </c>
      <c r="U29" s="79">
        <v>0</v>
      </c>
      <c r="V29" s="79">
        <v>0</v>
      </c>
      <c r="W29" s="79">
        <v>0</v>
      </c>
      <c r="X29" s="79">
        <v>0</v>
      </c>
      <c r="Y29" s="79">
        <v>0</v>
      </c>
      <c r="Z29" s="79">
        <v>0</v>
      </c>
      <c r="AA29" s="79">
        <v>0</v>
      </c>
      <c r="AB29" s="79">
        <v>0</v>
      </c>
      <c r="AC29" s="79">
        <v>0</v>
      </c>
      <c r="AD29" s="79">
        <v>0</v>
      </c>
      <c r="AE29" s="79">
        <v>0</v>
      </c>
      <c r="AF29" s="79">
        <v>0</v>
      </c>
      <c r="AG29" s="79">
        <v>0</v>
      </c>
      <c r="AH29" s="79">
        <v>0</v>
      </c>
      <c r="AI29" s="79">
        <v>0</v>
      </c>
      <c r="AJ29" s="79">
        <v>0</v>
      </c>
      <c r="AK29" s="79">
        <v>0</v>
      </c>
      <c r="AL29" s="79">
        <v>0</v>
      </c>
      <c r="AM29" s="79">
        <v>0</v>
      </c>
      <c r="AN29" s="79">
        <v>0</v>
      </c>
      <c r="AO29" s="79">
        <v>0</v>
      </c>
      <c r="AP29" s="79">
        <v>0</v>
      </c>
      <c r="AQ29" s="79">
        <v>0</v>
      </c>
      <c r="AR29" s="79">
        <v>0</v>
      </c>
      <c r="AS29" s="79">
        <v>0</v>
      </c>
      <c r="AT29" s="79">
        <v>0</v>
      </c>
      <c r="AU29" s="79">
        <v>0</v>
      </c>
      <c r="AV29" s="79">
        <v>0</v>
      </c>
      <c r="AW29" s="79">
        <v>0</v>
      </c>
      <c r="AX29" s="79">
        <v>0</v>
      </c>
      <c r="AY29" s="79">
        <v>0</v>
      </c>
      <c r="AZ29" s="79">
        <v>0</v>
      </c>
      <c r="BA29" s="79">
        <v>0</v>
      </c>
      <c r="BB29" s="79">
        <v>0</v>
      </c>
      <c r="BC29" s="79">
        <v>0</v>
      </c>
      <c r="BD29" s="79">
        <v>0</v>
      </c>
      <c r="BE29" s="79">
        <v>0</v>
      </c>
      <c r="BF29" s="79">
        <v>0</v>
      </c>
      <c r="BG29" s="79">
        <v>0</v>
      </c>
      <c r="BH29" s="79">
        <v>0</v>
      </c>
      <c r="BI29" s="79">
        <v>0</v>
      </c>
      <c r="BJ29" s="79">
        <v>0</v>
      </c>
      <c r="BK29" s="79">
        <v>0</v>
      </c>
      <c r="BL29" s="79">
        <v>0</v>
      </c>
      <c r="BM29" s="79">
        <v>0</v>
      </c>
    </row>
    <row r="30" spans="1:65" x14ac:dyDescent="0.25">
      <c r="A30" s="60">
        <f t="shared" si="3"/>
        <v>0</v>
      </c>
      <c r="B30" s="58" t="str">
        <f>'TB Data'!B35</f>
        <v>1250</v>
      </c>
      <c r="C30" s="60">
        <f t="shared" si="2"/>
        <v>1</v>
      </c>
      <c r="D30" s="84" t="s">
        <v>132</v>
      </c>
      <c r="E30" s="79">
        <v>0</v>
      </c>
      <c r="F30" s="79">
        <v>0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0</v>
      </c>
      <c r="N30" s="79">
        <v>0</v>
      </c>
      <c r="O30" s="79">
        <v>0</v>
      </c>
      <c r="P30" s="79">
        <v>0</v>
      </c>
      <c r="Q30" s="79">
        <v>0</v>
      </c>
      <c r="R30" s="79">
        <v>0</v>
      </c>
      <c r="S30" s="79">
        <v>0</v>
      </c>
      <c r="T30" s="79">
        <v>0</v>
      </c>
      <c r="U30" s="79">
        <v>0</v>
      </c>
      <c r="V30" s="79">
        <v>0</v>
      </c>
      <c r="W30" s="79">
        <v>0</v>
      </c>
      <c r="X30" s="79">
        <v>0</v>
      </c>
      <c r="Y30" s="79">
        <v>0</v>
      </c>
      <c r="Z30" s="79">
        <v>0</v>
      </c>
      <c r="AA30" s="79">
        <v>0</v>
      </c>
      <c r="AB30" s="79">
        <v>0</v>
      </c>
      <c r="AC30" s="79">
        <v>0</v>
      </c>
      <c r="AD30" s="79">
        <v>0</v>
      </c>
      <c r="AE30" s="79">
        <v>0</v>
      </c>
      <c r="AF30" s="79">
        <v>0</v>
      </c>
      <c r="AG30" s="79">
        <v>0</v>
      </c>
      <c r="AH30" s="79">
        <v>0</v>
      </c>
      <c r="AI30" s="79">
        <v>0</v>
      </c>
      <c r="AJ30" s="79">
        <v>0</v>
      </c>
      <c r="AK30" s="79">
        <v>0</v>
      </c>
      <c r="AL30" s="79">
        <v>0</v>
      </c>
      <c r="AM30" s="79">
        <v>0</v>
      </c>
      <c r="AN30" s="79">
        <v>0</v>
      </c>
      <c r="AO30" s="79">
        <v>0</v>
      </c>
      <c r="AP30" s="79">
        <v>0</v>
      </c>
      <c r="AQ30" s="79">
        <v>0</v>
      </c>
      <c r="AR30" s="79">
        <v>0</v>
      </c>
      <c r="AS30" s="79">
        <v>0</v>
      </c>
      <c r="AT30" s="79">
        <v>0</v>
      </c>
      <c r="AU30" s="79">
        <v>0</v>
      </c>
      <c r="AV30" s="79">
        <v>0</v>
      </c>
      <c r="AW30" s="79">
        <v>0</v>
      </c>
      <c r="AX30" s="79">
        <v>0</v>
      </c>
      <c r="AY30" s="79">
        <v>0</v>
      </c>
      <c r="AZ30" s="79">
        <v>0</v>
      </c>
      <c r="BA30" s="79">
        <v>0</v>
      </c>
      <c r="BB30" s="79">
        <v>0</v>
      </c>
      <c r="BC30" s="79">
        <v>0</v>
      </c>
      <c r="BD30" s="79">
        <v>0</v>
      </c>
      <c r="BE30" s="79">
        <v>0</v>
      </c>
      <c r="BF30" s="79">
        <v>0</v>
      </c>
      <c r="BG30" s="79">
        <v>0</v>
      </c>
      <c r="BH30" s="79">
        <v>0</v>
      </c>
      <c r="BI30" s="79">
        <v>0</v>
      </c>
      <c r="BJ30" s="79">
        <v>0</v>
      </c>
      <c r="BK30" s="79">
        <v>0</v>
      </c>
      <c r="BL30" s="79">
        <v>0</v>
      </c>
      <c r="BM30" s="79">
        <v>0</v>
      </c>
    </row>
    <row r="31" spans="1:65" x14ac:dyDescent="0.25">
      <c r="A31" s="60">
        <f t="shared" si="3"/>
        <v>0</v>
      </c>
      <c r="B31" s="58" t="str">
        <f>'TB Data'!B36</f>
        <v>1252</v>
      </c>
      <c r="C31" s="60">
        <f t="shared" si="2"/>
        <v>1</v>
      </c>
      <c r="D31" s="84" t="s">
        <v>159</v>
      </c>
      <c r="E31" s="79">
        <v>0</v>
      </c>
      <c r="F31" s="79">
        <v>0</v>
      </c>
      <c r="G31" s="79">
        <v>0</v>
      </c>
      <c r="H31" s="79">
        <v>0</v>
      </c>
      <c r="I31" s="79">
        <v>0</v>
      </c>
      <c r="J31" s="79">
        <v>0</v>
      </c>
      <c r="K31" s="79">
        <v>0</v>
      </c>
      <c r="L31" s="79">
        <v>1</v>
      </c>
      <c r="M31" s="79">
        <v>0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S31" s="79">
        <v>0</v>
      </c>
      <c r="T31" s="79">
        <v>0</v>
      </c>
      <c r="U31" s="79">
        <v>0</v>
      </c>
      <c r="V31" s="79">
        <v>0</v>
      </c>
      <c r="W31" s="79">
        <v>0</v>
      </c>
      <c r="X31" s="79">
        <v>0</v>
      </c>
      <c r="Y31" s="79">
        <v>0</v>
      </c>
      <c r="Z31" s="79">
        <v>0</v>
      </c>
      <c r="AA31" s="79">
        <v>0</v>
      </c>
      <c r="AB31" s="79">
        <v>0</v>
      </c>
      <c r="AC31" s="79">
        <v>0</v>
      </c>
      <c r="AD31" s="79">
        <v>0</v>
      </c>
      <c r="AE31" s="79">
        <v>0</v>
      </c>
      <c r="AF31" s="79">
        <v>0</v>
      </c>
      <c r="AG31" s="79">
        <v>0</v>
      </c>
      <c r="AH31" s="79">
        <v>0</v>
      </c>
      <c r="AI31" s="79">
        <v>0</v>
      </c>
      <c r="AJ31" s="79">
        <v>0</v>
      </c>
      <c r="AK31" s="79">
        <v>0</v>
      </c>
      <c r="AL31" s="79">
        <v>0</v>
      </c>
      <c r="AM31" s="79">
        <v>0</v>
      </c>
      <c r="AN31" s="79">
        <v>0</v>
      </c>
      <c r="AO31" s="79">
        <v>0</v>
      </c>
      <c r="AP31" s="79">
        <v>0</v>
      </c>
      <c r="AQ31" s="79">
        <v>0</v>
      </c>
      <c r="AR31" s="79">
        <v>0</v>
      </c>
      <c r="AS31" s="79">
        <v>0</v>
      </c>
      <c r="AT31" s="79">
        <v>0</v>
      </c>
      <c r="AU31" s="79">
        <v>0</v>
      </c>
      <c r="AV31" s="79">
        <v>0</v>
      </c>
      <c r="AW31" s="79">
        <v>0</v>
      </c>
      <c r="AX31" s="79">
        <v>0</v>
      </c>
      <c r="AY31" s="79">
        <v>0</v>
      </c>
      <c r="AZ31" s="79">
        <v>0</v>
      </c>
      <c r="BA31" s="79">
        <v>0</v>
      </c>
      <c r="BB31" s="79">
        <v>0</v>
      </c>
      <c r="BC31" s="79">
        <v>0</v>
      </c>
      <c r="BD31" s="79">
        <v>0</v>
      </c>
      <c r="BE31" s="79">
        <v>0</v>
      </c>
      <c r="BF31" s="79">
        <v>0</v>
      </c>
      <c r="BG31" s="79">
        <v>0</v>
      </c>
      <c r="BH31" s="79">
        <v>0</v>
      </c>
      <c r="BI31" s="79">
        <v>0</v>
      </c>
      <c r="BJ31" s="79">
        <v>0</v>
      </c>
      <c r="BK31" s="79">
        <v>0</v>
      </c>
      <c r="BL31" s="79">
        <v>0</v>
      </c>
      <c r="BM31" s="79">
        <v>0</v>
      </c>
    </row>
    <row r="32" spans="1:65" x14ac:dyDescent="0.25">
      <c r="A32" s="60">
        <f t="shared" si="3"/>
        <v>0</v>
      </c>
      <c r="B32" s="58" t="str">
        <f>'TB Data'!B37</f>
        <v>1254</v>
      </c>
      <c r="C32" s="60">
        <f t="shared" si="2"/>
        <v>1</v>
      </c>
      <c r="D32" s="84" t="s">
        <v>160</v>
      </c>
      <c r="E32" s="79">
        <v>0</v>
      </c>
      <c r="F32" s="79">
        <v>1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S32" s="79">
        <v>0</v>
      </c>
      <c r="T32" s="79">
        <v>0</v>
      </c>
      <c r="U32" s="79">
        <v>0</v>
      </c>
      <c r="V32" s="79">
        <v>0</v>
      </c>
      <c r="W32" s="79">
        <v>0</v>
      </c>
      <c r="X32" s="79">
        <v>0</v>
      </c>
      <c r="Y32" s="79">
        <v>0</v>
      </c>
      <c r="Z32" s="79">
        <v>0</v>
      </c>
      <c r="AA32" s="79">
        <v>0</v>
      </c>
      <c r="AB32" s="79">
        <v>0</v>
      </c>
      <c r="AC32" s="79">
        <v>0</v>
      </c>
      <c r="AD32" s="79">
        <v>0</v>
      </c>
      <c r="AE32" s="79">
        <v>0</v>
      </c>
      <c r="AF32" s="79">
        <v>0</v>
      </c>
      <c r="AG32" s="79">
        <v>0</v>
      </c>
      <c r="AH32" s="79">
        <v>0</v>
      </c>
      <c r="AI32" s="79">
        <v>0</v>
      </c>
      <c r="AJ32" s="79">
        <v>0</v>
      </c>
      <c r="AK32" s="79">
        <v>0</v>
      </c>
      <c r="AL32" s="79">
        <v>0</v>
      </c>
      <c r="AM32" s="79">
        <v>0</v>
      </c>
      <c r="AN32" s="79">
        <v>0</v>
      </c>
      <c r="AO32" s="79">
        <v>0</v>
      </c>
      <c r="AP32" s="79">
        <v>0</v>
      </c>
      <c r="AQ32" s="79">
        <v>0</v>
      </c>
      <c r="AR32" s="79">
        <v>0</v>
      </c>
      <c r="AS32" s="79">
        <v>0</v>
      </c>
      <c r="AT32" s="79">
        <v>0</v>
      </c>
      <c r="AU32" s="79">
        <v>0</v>
      </c>
      <c r="AV32" s="79">
        <v>0</v>
      </c>
      <c r="AW32" s="79">
        <v>0</v>
      </c>
      <c r="AX32" s="79">
        <v>0</v>
      </c>
      <c r="AY32" s="79">
        <v>0</v>
      </c>
      <c r="AZ32" s="79">
        <v>0</v>
      </c>
      <c r="BA32" s="79">
        <v>0</v>
      </c>
      <c r="BB32" s="79">
        <v>0</v>
      </c>
      <c r="BC32" s="79">
        <v>0</v>
      </c>
      <c r="BD32" s="79">
        <v>0</v>
      </c>
      <c r="BE32" s="79">
        <v>0</v>
      </c>
      <c r="BF32" s="79">
        <v>0</v>
      </c>
      <c r="BG32" s="79">
        <v>0</v>
      </c>
      <c r="BH32" s="79">
        <v>0</v>
      </c>
      <c r="BI32" s="79">
        <v>0</v>
      </c>
      <c r="BJ32" s="79">
        <v>0</v>
      </c>
      <c r="BK32" s="79">
        <v>0</v>
      </c>
      <c r="BL32" s="79">
        <v>0</v>
      </c>
      <c r="BM32" s="79">
        <v>0</v>
      </c>
    </row>
    <row r="33" spans="1:65" s="79" customFormat="1" x14ac:dyDescent="0.25">
      <c r="A33" s="60">
        <f t="shared" si="3"/>
        <v>0</v>
      </c>
      <c r="B33" s="58" t="str">
        <f>'TB Data'!B38</f>
        <v>1256</v>
      </c>
      <c r="C33" s="60">
        <f t="shared" si="2"/>
        <v>1</v>
      </c>
      <c r="D33" s="102" t="s">
        <v>161</v>
      </c>
      <c r="E33" s="79">
        <v>0</v>
      </c>
      <c r="F33" s="79">
        <v>1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0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S33" s="79">
        <v>0</v>
      </c>
      <c r="T33" s="79">
        <v>0</v>
      </c>
      <c r="U33" s="79">
        <v>0</v>
      </c>
      <c r="V33" s="79">
        <v>0</v>
      </c>
      <c r="W33" s="79">
        <v>0</v>
      </c>
      <c r="X33" s="79">
        <v>0</v>
      </c>
      <c r="Y33" s="79">
        <v>0</v>
      </c>
      <c r="Z33" s="79">
        <v>0</v>
      </c>
      <c r="AA33" s="79">
        <v>0</v>
      </c>
      <c r="AB33" s="79">
        <v>0</v>
      </c>
      <c r="AC33" s="79">
        <v>0</v>
      </c>
      <c r="AD33" s="79">
        <v>0</v>
      </c>
      <c r="AE33" s="79">
        <v>0</v>
      </c>
      <c r="AF33" s="79">
        <v>0</v>
      </c>
      <c r="AG33" s="79">
        <v>0</v>
      </c>
      <c r="AH33" s="79">
        <v>0</v>
      </c>
      <c r="AI33" s="79">
        <v>0</v>
      </c>
      <c r="AJ33" s="79">
        <v>0</v>
      </c>
      <c r="AK33" s="79">
        <v>0</v>
      </c>
      <c r="AL33" s="79">
        <v>0</v>
      </c>
      <c r="AM33" s="79">
        <v>0</v>
      </c>
      <c r="AN33" s="79">
        <v>0</v>
      </c>
      <c r="AO33" s="79">
        <v>0</v>
      </c>
      <c r="AP33" s="79">
        <v>0</v>
      </c>
      <c r="AQ33" s="79">
        <v>0</v>
      </c>
      <c r="AR33" s="79">
        <v>0</v>
      </c>
      <c r="AS33" s="79">
        <v>0</v>
      </c>
      <c r="AT33" s="79">
        <v>0</v>
      </c>
      <c r="AU33" s="79">
        <v>0</v>
      </c>
      <c r="AV33" s="79">
        <v>0</v>
      </c>
      <c r="AW33" s="79">
        <v>0</v>
      </c>
      <c r="AX33" s="79">
        <v>0</v>
      </c>
      <c r="AY33" s="79">
        <v>0</v>
      </c>
      <c r="AZ33" s="79">
        <v>0</v>
      </c>
      <c r="BA33" s="79">
        <v>0</v>
      </c>
      <c r="BB33" s="79">
        <v>0</v>
      </c>
      <c r="BC33" s="79">
        <v>0</v>
      </c>
      <c r="BD33" s="79">
        <v>0</v>
      </c>
      <c r="BE33" s="79">
        <v>0</v>
      </c>
      <c r="BF33" s="79">
        <v>0</v>
      </c>
      <c r="BG33" s="79">
        <v>0</v>
      </c>
      <c r="BH33" s="79">
        <v>0</v>
      </c>
      <c r="BI33" s="79">
        <v>0</v>
      </c>
      <c r="BJ33" s="79">
        <v>0</v>
      </c>
      <c r="BK33" s="79">
        <v>0</v>
      </c>
      <c r="BL33" s="79">
        <v>0</v>
      </c>
      <c r="BM33" s="79">
        <v>0</v>
      </c>
    </row>
    <row r="34" spans="1:65" x14ac:dyDescent="0.25">
      <c r="A34" s="60">
        <f t="shared" si="3"/>
        <v>0</v>
      </c>
      <c r="B34" s="58" t="str">
        <f>'TB Data'!B39</f>
        <v>1260</v>
      </c>
      <c r="C34" s="60">
        <f t="shared" si="2"/>
        <v>1</v>
      </c>
      <c r="D34" s="84" t="s">
        <v>162</v>
      </c>
      <c r="E34" s="79">
        <v>0</v>
      </c>
      <c r="F34" s="79">
        <v>0</v>
      </c>
      <c r="G34" s="79">
        <v>0</v>
      </c>
      <c r="H34" s="79">
        <v>0</v>
      </c>
      <c r="I34" s="79">
        <v>0</v>
      </c>
      <c r="J34" s="79">
        <v>0</v>
      </c>
      <c r="K34" s="79">
        <v>1</v>
      </c>
      <c r="L34" s="79">
        <v>0</v>
      </c>
      <c r="M34" s="79">
        <v>0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S34" s="79">
        <v>0</v>
      </c>
      <c r="T34" s="79">
        <v>0</v>
      </c>
      <c r="U34" s="79">
        <v>0</v>
      </c>
      <c r="V34" s="79">
        <v>0</v>
      </c>
      <c r="W34" s="79">
        <v>0</v>
      </c>
      <c r="X34" s="79">
        <v>0</v>
      </c>
      <c r="Y34" s="79">
        <v>0</v>
      </c>
      <c r="Z34" s="79">
        <v>0</v>
      </c>
      <c r="AA34" s="79">
        <v>0</v>
      </c>
      <c r="AB34" s="79">
        <v>0</v>
      </c>
      <c r="AC34" s="79">
        <v>0</v>
      </c>
      <c r="AD34" s="79">
        <v>0</v>
      </c>
      <c r="AE34" s="79">
        <v>0</v>
      </c>
      <c r="AF34" s="79">
        <v>0</v>
      </c>
      <c r="AG34" s="79">
        <v>0</v>
      </c>
      <c r="AH34" s="79">
        <v>0</v>
      </c>
      <c r="AI34" s="79">
        <v>0</v>
      </c>
      <c r="AJ34" s="79">
        <v>0</v>
      </c>
      <c r="AK34" s="79">
        <v>0</v>
      </c>
      <c r="AL34" s="79">
        <v>0</v>
      </c>
      <c r="AM34" s="79">
        <v>0</v>
      </c>
      <c r="AN34" s="79">
        <v>0</v>
      </c>
      <c r="AO34" s="79">
        <v>0</v>
      </c>
      <c r="AP34" s="79">
        <v>0</v>
      </c>
      <c r="AQ34" s="79">
        <v>0</v>
      </c>
      <c r="AR34" s="79">
        <v>0</v>
      </c>
      <c r="AS34" s="79">
        <v>0</v>
      </c>
      <c r="AT34" s="79">
        <v>0</v>
      </c>
      <c r="AU34" s="79">
        <v>0</v>
      </c>
      <c r="AV34" s="79">
        <v>0</v>
      </c>
      <c r="AW34" s="79">
        <v>0</v>
      </c>
      <c r="AX34" s="79">
        <v>0</v>
      </c>
      <c r="AY34" s="79">
        <v>0</v>
      </c>
      <c r="AZ34" s="79">
        <v>0</v>
      </c>
      <c r="BA34" s="79">
        <v>0</v>
      </c>
      <c r="BB34" s="79">
        <v>0</v>
      </c>
      <c r="BC34" s="79">
        <v>0</v>
      </c>
      <c r="BD34" s="79">
        <v>0</v>
      </c>
      <c r="BE34" s="79">
        <v>0</v>
      </c>
      <c r="BF34" s="79">
        <v>0</v>
      </c>
      <c r="BG34" s="79">
        <v>0</v>
      </c>
      <c r="BH34" s="79">
        <v>0</v>
      </c>
      <c r="BI34" s="79">
        <v>0</v>
      </c>
      <c r="BJ34" s="79">
        <v>0</v>
      </c>
      <c r="BK34" s="79">
        <v>0</v>
      </c>
      <c r="BL34" s="79">
        <v>0</v>
      </c>
      <c r="BM34" s="79">
        <v>0</v>
      </c>
    </row>
    <row r="35" spans="1:65" x14ac:dyDescent="0.25">
      <c r="A35" s="60">
        <f t="shared" si="3"/>
        <v>0</v>
      </c>
      <c r="B35" s="58" t="str">
        <f>'TB Data'!B40</f>
        <v>1262</v>
      </c>
      <c r="C35" s="60">
        <f t="shared" si="2"/>
        <v>1</v>
      </c>
      <c r="D35" s="84" t="s">
        <v>163</v>
      </c>
      <c r="E35" s="79">
        <v>0</v>
      </c>
      <c r="F35" s="79">
        <v>0</v>
      </c>
      <c r="G35" s="79">
        <v>0</v>
      </c>
      <c r="H35" s="79">
        <v>0</v>
      </c>
      <c r="I35" s="79">
        <v>0</v>
      </c>
      <c r="J35" s="79">
        <v>0</v>
      </c>
      <c r="K35" s="79">
        <v>1</v>
      </c>
      <c r="L35" s="79">
        <v>0</v>
      </c>
      <c r="M35" s="79">
        <v>0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S35" s="79">
        <v>0</v>
      </c>
      <c r="T35" s="79">
        <v>0</v>
      </c>
      <c r="U35" s="79">
        <v>0</v>
      </c>
      <c r="V35" s="79">
        <v>0</v>
      </c>
      <c r="W35" s="79">
        <v>0</v>
      </c>
      <c r="X35" s="79">
        <v>0</v>
      </c>
      <c r="Y35" s="79">
        <v>0</v>
      </c>
      <c r="Z35" s="79">
        <v>0</v>
      </c>
      <c r="AA35" s="79">
        <v>0</v>
      </c>
      <c r="AB35" s="79">
        <v>0</v>
      </c>
      <c r="AC35" s="79">
        <v>0</v>
      </c>
      <c r="AD35" s="79">
        <v>0</v>
      </c>
      <c r="AE35" s="79">
        <v>0</v>
      </c>
      <c r="AF35" s="79">
        <v>0</v>
      </c>
      <c r="AG35" s="79">
        <v>0</v>
      </c>
      <c r="AH35" s="79">
        <v>0</v>
      </c>
      <c r="AI35" s="79">
        <v>0</v>
      </c>
      <c r="AJ35" s="79">
        <v>0</v>
      </c>
      <c r="AK35" s="79">
        <v>0</v>
      </c>
      <c r="AL35" s="79">
        <v>0</v>
      </c>
      <c r="AM35" s="79">
        <v>0</v>
      </c>
      <c r="AN35" s="79">
        <v>0</v>
      </c>
      <c r="AO35" s="79">
        <v>0</v>
      </c>
      <c r="AP35" s="79">
        <v>0</v>
      </c>
      <c r="AQ35" s="79">
        <v>0</v>
      </c>
      <c r="AR35" s="79">
        <v>0</v>
      </c>
      <c r="AS35" s="79">
        <v>0</v>
      </c>
      <c r="AT35" s="79">
        <v>0</v>
      </c>
      <c r="AU35" s="79">
        <v>0</v>
      </c>
      <c r="AV35" s="79">
        <v>0</v>
      </c>
      <c r="AW35" s="79">
        <v>0</v>
      </c>
      <c r="AX35" s="79">
        <v>0</v>
      </c>
      <c r="AY35" s="79">
        <v>0</v>
      </c>
      <c r="AZ35" s="79">
        <v>0</v>
      </c>
      <c r="BA35" s="79">
        <v>0</v>
      </c>
      <c r="BB35" s="79">
        <v>0</v>
      </c>
      <c r="BC35" s="79">
        <v>0</v>
      </c>
      <c r="BD35" s="79">
        <v>0</v>
      </c>
      <c r="BE35" s="79">
        <v>0</v>
      </c>
      <c r="BF35" s="79">
        <v>0</v>
      </c>
      <c r="BG35" s="79">
        <v>0</v>
      </c>
      <c r="BH35" s="79">
        <v>0</v>
      </c>
      <c r="BI35" s="79">
        <v>0</v>
      </c>
      <c r="BJ35" s="79">
        <v>0</v>
      </c>
      <c r="BK35" s="79">
        <v>0</v>
      </c>
      <c r="BL35" s="79">
        <v>0</v>
      </c>
      <c r="BM35" s="79">
        <v>0</v>
      </c>
    </row>
    <row r="36" spans="1:65" x14ac:dyDescent="0.25">
      <c r="A36" s="60">
        <f t="shared" si="3"/>
        <v>0</v>
      </c>
      <c r="B36" s="58" t="str">
        <f>'TB Data'!B41</f>
        <v>1263</v>
      </c>
      <c r="C36" s="60">
        <f t="shared" si="2"/>
        <v>1</v>
      </c>
      <c r="D36" s="84" t="s">
        <v>321</v>
      </c>
      <c r="E36" s="79">
        <v>0</v>
      </c>
      <c r="F36" s="79">
        <v>0</v>
      </c>
      <c r="G36" s="79">
        <v>0</v>
      </c>
      <c r="H36" s="79">
        <v>0</v>
      </c>
      <c r="I36" s="79">
        <v>0</v>
      </c>
      <c r="J36" s="79">
        <v>0</v>
      </c>
      <c r="K36" s="79">
        <v>1</v>
      </c>
      <c r="L36" s="79">
        <v>0</v>
      </c>
      <c r="M36" s="79">
        <v>0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S36" s="79">
        <v>0</v>
      </c>
      <c r="T36" s="79">
        <v>0</v>
      </c>
      <c r="U36" s="79">
        <v>0</v>
      </c>
      <c r="V36" s="79">
        <v>0</v>
      </c>
      <c r="W36" s="79">
        <v>0</v>
      </c>
      <c r="X36" s="79">
        <v>0</v>
      </c>
      <c r="Y36" s="79">
        <v>0</v>
      </c>
      <c r="Z36" s="79">
        <v>0</v>
      </c>
      <c r="AA36" s="79">
        <v>0</v>
      </c>
      <c r="AB36" s="79">
        <v>0</v>
      </c>
      <c r="AC36" s="79">
        <v>0</v>
      </c>
      <c r="AD36" s="79">
        <v>0</v>
      </c>
      <c r="AE36" s="79">
        <v>0</v>
      </c>
      <c r="AF36" s="79">
        <v>0</v>
      </c>
      <c r="AG36" s="79">
        <v>0</v>
      </c>
      <c r="AH36" s="79">
        <v>0</v>
      </c>
      <c r="AI36" s="79">
        <v>0</v>
      </c>
      <c r="AJ36" s="79">
        <v>0</v>
      </c>
      <c r="AK36" s="79">
        <v>0</v>
      </c>
      <c r="AL36" s="79">
        <v>0</v>
      </c>
      <c r="AM36" s="79">
        <v>0</v>
      </c>
      <c r="AN36" s="79">
        <v>0</v>
      </c>
      <c r="AO36" s="79">
        <v>0</v>
      </c>
      <c r="AP36" s="79">
        <v>0</v>
      </c>
      <c r="AQ36" s="79">
        <v>0</v>
      </c>
      <c r="AR36" s="79">
        <v>0</v>
      </c>
      <c r="AS36" s="79">
        <v>0</v>
      </c>
      <c r="AT36" s="79">
        <v>0</v>
      </c>
      <c r="AU36" s="79">
        <v>0</v>
      </c>
      <c r="AV36" s="79">
        <v>0</v>
      </c>
      <c r="AW36" s="79">
        <v>0</v>
      </c>
      <c r="AX36" s="79">
        <v>0</v>
      </c>
      <c r="AY36" s="79">
        <v>0</v>
      </c>
      <c r="AZ36" s="79">
        <v>0</v>
      </c>
      <c r="BA36" s="79">
        <v>0</v>
      </c>
      <c r="BB36" s="79">
        <v>0</v>
      </c>
      <c r="BC36" s="79">
        <v>0</v>
      </c>
      <c r="BD36" s="79">
        <v>0</v>
      </c>
      <c r="BE36" s="79">
        <v>0</v>
      </c>
      <c r="BF36" s="79">
        <v>0</v>
      </c>
      <c r="BG36" s="79">
        <v>0</v>
      </c>
      <c r="BH36" s="79">
        <v>0</v>
      </c>
      <c r="BI36" s="79">
        <v>0</v>
      </c>
      <c r="BJ36" s="79">
        <v>0</v>
      </c>
      <c r="BK36" s="79">
        <v>0</v>
      </c>
      <c r="BL36" s="79">
        <v>0</v>
      </c>
      <c r="BM36" s="79">
        <v>0</v>
      </c>
    </row>
    <row r="37" spans="1:65" s="79" customFormat="1" x14ac:dyDescent="0.25">
      <c r="A37" s="60">
        <f t="shared" si="3"/>
        <v>0</v>
      </c>
      <c r="B37" s="58" t="str">
        <f>'TB Data'!B42</f>
        <v>2100</v>
      </c>
      <c r="C37" s="60">
        <f t="shared" ref="C37:C70" si="5">SUM(E37:BM37)</f>
        <v>1</v>
      </c>
      <c r="D37" s="84" t="s">
        <v>114</v>
      </c>
      <c r="E37" s="79">
        <v>0</v>
      </c>
      <c r="F37" s="79">
        <v>0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0</v>
      </c>
      <c r="M37" s="79">
        <v>0</v>
      </c>
      <c r="N37" s="79">
        <v>0</v>
      </c>
      <c r="O37" s="79">
        <v>1</v>
      </c>
      <c r="P37" s="79">
        <v>0</v>
      </c>
      <c r="Q37" s="79">
        <v>0</v>
      </c>
      <c r="R37" s="79">
        <v>0</v>
      </c>
      <c r="S37" s="79">
        <v>0</v>
      </c>
      <c r="T37" s="79">
        <v>0</v>
      </c>
      <c r="U37" s="79">
        <v>0</v>
      </c>
      <c r="V37" s="79">
        <v>0</v>
      </c>
      <c r="W37" s="79">
        <v>0</v>
      </c>
      <c r="X37" s="79">
        <v>0</v>
      </c>
      <c r="Y37" s="79">
        <v>0</v>
      </c>
      <c r="Z37" s="79">
        <v>0</v>
      </c>
      <c r="AA37" s="79">
        <v>0</v>
      </c>
      <c r="AB37" s="79">
        <v>0</v>
      </c>
      <c r="AC37" s="79">
        <v>0</v>
      </c>
      <c r="AD37" s="79">
        <v>0</v>
      </c>
      <c r="AE37" s="79">
        <v>0</v>
      </c>
      <c r="AF37" s="79">
        <v>0</v>
      </c>
      <c r="AG37" s="79">
        <v>0</v>
      </c>
      <c r="AH37" s="79">
        <v>0</v>
      </c>
      <c r="AI37" s="79">
        <v>0</v>
      </c>
      <c r="AJ37" s="79">
        <v>0</v>
      </c>
      <c r="AK37" s="79">
        <v>0</v>
      </c>
      <c r="AL37" s="79">
        <v>0</v>
      </c>
      <c r="AM37" s="79">
        <v>0</v>
      </c>
      <c r="AN37" s="79">
        <v>0</v>
      </c>
      <c r="AO37" s="79">
        <v>0</v>
      </c>
      <c r="AP37" s="79">
        <v>0</v>
      </c>
      <c r="AQ37" s="79">
        <v>0</v>
      </c>
      <c r="AR37" s="79">
        <v>0</v>
      </c>
      <c r="AS37" s="79">
        <v>0</v>
      </c>
      <c r="AT37" s="79">
        <v>0</v>
      </c>
      <c r="AU37" s="79">
        <v>0</v>
      </c>
      <c r="AV37" s="79">
        <v>0</v>
      </c>
      <c r="AW37" s="79">
        <v>0</v>
      </c>
      <c r="AX37" s="79">
        <v>0</v>
      </c>
      <c r="AY37" s="79">
        <v>0</v>
      </c>
      <c r="AZ37" s="79">
        <v>0</v>
      </c>
      <c r="BA37" s="79">
        <v>0</v>
      </c>
      <c r="BB37" s="79">
        <v>0</v>
      </c>
      <c r="BC37" s="79">
        <v>0</v>
      </c>
      <c r="BD37" s="79">
        <v>0</v>
      </c>
      <c r="BE37" s="79">
        <v>0</v>
      </c>
      <c r="BF37" s="79">
        <v>0</v>
      </c>
      <c r="BG37" s="79">
        <v>0</v>
      </c>
      <c r="BH37" s="79">
        <v>0</v>
      </c>
      <c r="BI37" s="79">
        <v>0</v>
      </c>
      <c r="BJ37" s="79">
        <v>0</v>
      </c>
      <c r="BK37" s="79">
        <v>0</v>
      </c>
      <c r="BL37" s="79">
        <v>0</v>
      </c>
      <c r="BM37" s="79">
        <v>0</v>
      </c>
    </row>
    <row r="38" spans="1:65" s="79" customFormat="1" x14ac:dyDescent="0.25">
      <c r="A38" s="60">
        <f t="shared" si="3"/>
        <v>0</v>
      </c>
      <c r="B38" s="58" t="str">
        <f>'TB Data'!B43</f>
        <v>2101</v>
      </c>
      <c r="C38" s="60">
        <f t="shared" si="5"/>
        <v>1</v>
      </c>
      <c r="D38" s="84" t="s">
        <v>229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0</v>
      </c>
      <c r="M38" s="79">
        <v>0</v>
      </c>
      <c r="N38" s="79">
        <v>0</v>
      </c>
      <c r="O38" s="79">
        <v>0</v>
      </c>
      <c r="P38" s="79">
        <v>1</v>
      </c>
      <c r="Q38" s="79">
        <v>0</v>
      </c>
      <c r="R38" s="79">
        <v>0</v>
      </c>
      <c r="S38" s="79">
        <v>0</v>
      </c>
      <c r="T38" s="79">
        <v>0</v>
      </c>
      <c r="U38" s="79">
        <v>0</v>
      </c>
      <c r="V38" s="79">
        <v>0</v>
      </c>
      <c r="W38" s="79">
        <v>0</v>
      </c>
      <c r="X38" s="79">
        <v>0</v>
      </c>
      <c r="Y38" s="79">
        <v>0</v>
      </c>
      <c r="Z38" s="79">
        <v>0</v>
      </c>
      <c r="AA38" s="79">
        <v>0</v>
      </c>
      <c r="AB38" s="79">
        <v>0</v>
      </c>
      <c r="AC38" s="79">
        <v>0</v>
      </c>
      <c r="AD38" s="79">
        <v>0</v>
      </c>
      <c r="AE38" s="79">
        <v>0</v>
      </c>
      <c r="AF38" s="79">
        <v>0</v>
      </c>
      <c r="AG38" s="79">
        <v>0</v>
      </c>
      <c r="AH38" s="79">
        <v>0</v>
      </c>
      <c r="AI38" s="79">
        <v>0</v>
      </c>
      <c r="AJ38" s="79">
        <v>0</v>
      </c>
      <c r="AK38" s="79">
        <v>0</v>
      </c>
      <c r="AL38" s="79">
        <v>0</v>
      </c>
      <c r="AM38" s="79">
        <v>0</v>
      </c>
      <c r="AN38" s="79">
        <v>0</v>
      </c>
      <c r="AO38" s="79">
        <v>0</v>
      </c>
      <c r="AP38" s="79">
        <v>0</v>
      </c>
      <c r="AQ38" s="79">
        <v>0</v>
      </c>
      <c r="AR38" s="79">
        <v>0</v>
      </c>
      <c r="AS38" s="79">
        <v>0</v>
      </c>
      <c r="AT38" s="79">
        <v>0</v>
      </c>
      <c r="AU38" s="79">
        <v>0</v>
      </c>
      <c r="AV38" s="79">
        <v>0</v>
      </c>
      <c r="AW38" s="79">
        <v>0</v>
      </c>
      <c r="AX38" s="79">
        <v>0</v>
      </c>
      <c r="AY38" s="79">
        <v>0</v>
      </c>
      <c r="AZ38" s="79">
        <v>0</v>
      </c>
      <c r="BA38" s="79">
        <v>0</v>
      </c>
      <c r="BB38" s="79">
        <v>0</v>
      </c>
      <c r="BC38" s="79">
        <v>0</v>
      </c>
      <c r="BD38" s="79">
        <v>0</v>
      </c>
      <c r="BE38" s="79">
        <v>0</v>
      </c>
      <c r="BF38" s="79">
        <v>0</v>
      </c>
      <c r="BG38" s="79">
        <v>0</v>
      </c>
      <c r="BH38" s="79">
        <v>0</v>
      </c>
      <c r="BI38" s="79">
        <v>0</v>
      </c>
      <c r="BJ38" s="79">
        <v>0</v>
      </c>
      <c r="BK38" s="79">
        <v>0</v>
      </c>
      <c r="BL38" s="79">
        <v>0</v>
      </c>
      <c r="BM38" s="79">
        <v>0</v>
      </c>
    </row>
    <row r="39" spans="1:65" x14ac:dyDescent="0.25">
      <c r="A39" s="60">
        <f t="shared" si="3"/>
        <v>0</v>
      </c>
      <c r="B39" s="58" t="str">
        <f>'TB Data'!B44</f>
        <v>2102</v>
      </c>
      <c r="C39" s="60">
        <f t="shared" si="5"/>
        <v>1</v>
      </c>
      <c r="D39" s="84" t="s">
        <v>230</v>
      </c>
      <c r="E39" s="79">
        <v>0</v>
      </c>
      <c r="F39" s="79">
        <v>0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0</v>
      </c>
      <c r="M39" s="79">
        <v>0</v>
      </c>
      <c r="N39" s="79">
        <v>0</v>
      </c>
      <c r="O39" s="79">
        <v>0</v>
      </c>
      <c r="P39" s="79">
        <v>0</v>
      </c>
      <c r="Q39" s="79">
        <v>1</v>
      </c>
      <c r="R39" s="79">
        <v>0</v>
      </c>
      <c r="S39" s="79">
        <v>0</v>
      </c>
      <c r="T39" s="79">
        <v>0</v>
      </c>
      <c r="U39" s="79">
        <v>0</v>
      </c>
      <c r="V39" s="79">
        <v>0</v>
      </c>
      <c r="W39" s="79">
        <v>0</v>
      </c>
      <c r="X39" s="79">
        <v>0</v>
      </c>
      <c r="Y39" s="79">
        <v>0</v>
      </c>
      <c r="Z39" s="79">
        <v>0</v>
      </c>
      <c r="AA39" s="79">
        <v>0</v>
      </c>
      <c r="AB39" s="79">
        <v>0</v>
      </c>
      <c r="AC39" s="79">
        <v>0</v>
      </c>
      <c r="AD39" s="79">
        <v>0</v>
      </c>
      <c r="AE39" s="79">
        <v>0</v>
      </c>
      <c r="AF39" s="79">
        <v>0</v>
      </c>
      <c r="AG39" s="79">
        <v>0</v>
      </c>
      <c r="AH39" s="79">
        <v>0</v>
      </c>
      <c r="AI39" s="79">
        <v>0</v>
      </c>
      <c r="AJ39" s="79">
        <v>0</v>
      </c>
      <c r="AK39" s="79">
        <v>0</v>
      </c>
      <c r="AL39" s="79">
        <v>0</v>
      </c>
      <c r="AM39" s="79">
        <v>0</v>
      </c>
      <c r="AN39" s="79">
        <v>0</v>
      </c>
      <c r="AO39" s="79">
        <v>0</v>
      </c>
      <c r="AP39" s="79">
        <v>0</v>
      </c>
      <c r="AQ39" s="79">
        <v>0</v>
      </c>
      <c r="AR39" s="79">
        <v>0</v>
      </c>
      <c r="AS39" s="79">
        <v>0</v>
      </c>
      <c r="AT39" s="79">
        <v>0</v>
      </c>
      <c r="AU39" s="79">
        <v>0</v>
      </c>
      <c r="AV39" s="79">
        <v>0</v>
      </c>
      <c r="AW39" s="79">
        <v>0</v>
      </c>
      <c r="AX39" s="79">
        <v>0</v>
      </c>
      <c r="AY39" s="79">
        <v>0</v>
      </c>
      <c r="AZ39" s="79">
        <v>0</v>
      </c>
      <c r="BA39" s="79">
        <v>0</v>
      </c>
      <c r="BB39" s="79">
        <v>0</v>
      </c>
      <c r="BC39" s="79">
        <v>0</v>
      </c>
      <c r="BD39" s="79">
        <v>0</v>
      </c>
      <c r="BE39" s="79">
        <v>0</v>
      </c>
      <c r="BF39" s="79">
        <v>0</v>
      </c>
      <c r="BG39" s="79">
        <v>0</v>
      </c>
      <c r="BH39" s="79">
        <v>0</v>
      </c>
      <c r="BI39" s="79">
        <v>0</v>
      </c>
      <c r="BJ39" s="79">
        <v>0</v>
      </c>
      <c r="BK39" s="79">
        <v>0</v>
      </c>
      <c r="BL39" s="79">
        <v>0</v>
      </c>
      <c r="BM39" s="79">
        <v>0</v>
      </c>
    </row>
    <row r="40" spans="1:65" x14ac:dyDescent="0.25">
      <c r="A40" s="60">
        <f t="shared" si="3"/>
        <v>0</v>
      </c>
      <c r="B40" s="58" t="str">
        <f>'TB Data'!B45</f>
        <v>2105</v>
      </c>
      <c r="C40" s="60">
        <f t="shared" si="5"/>
        <v>1</v>
      </c>
      <c r="D40" s="84" t="s">
        <v>283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9">
        <v>1</v>
      </c>
      <c r="S40" s="79">
        <v>0</v>
      </c>
      <c r="T40" s="79">
        <v>0</v>
      </c>
      <c r="U40" s="79">
        <v>0</v>
      </c>
      <c r="V40" s="79">
        <v>0</v>
      </c>
      <c r="W40" s="79">
        <v>0</v>
      </c>
      <c r="X40" s="79">
        <v>0</v>
      </c>
      <c r="Y40" s="79">
        <v>0</v>
      </c>
      <c r="Z40" s="79">
        <v>0</v>
      </c>
      <c r="AA40" s="79">
        <v>0</v>
      </c>
      <c r="AB40" s="79">
        <v>0</v>
      </c>
      <c r="AC40" s="79">
        <v>0</v>
      </c>
      <c r="AD40" s="79">
        <v>0</v>
      </c>
      <c r="AE40" s="79">
        <v>0</v>
      </c>
      <c r="AF40" s="79">
        <v>0</v>
      </c>
      <c r="AG40" s="79">
        <v>0</v>
      </c>
      <c r="AH40" s="79">
        <v>0</v>
      </c>
      <c r="AI40" s="79">
        <v>0</v>
      </c>
      <c r="AJ40" s="79">
        <v>0</v>
      </c>
      <c r="AK40" s="79">
        <v>0</v>
      </c>
      <c r="AL40" s="79">
        <v>0</v>
      </c>
      <c r="AM40" s="79">
        <v>0</v>
      </c>
      <c r="AN40" s="79">
        <v>0</v>
      </c>
      <c r="AO40" s="79">
        <v>0</v>
      </c>
      <c r="AP40" s="79">
        <v>0</v>
      </c>
      <c r="AQ40" s="79">
        <v>0</v>
      </c>
      <c r="AR40" s="79">
        <v>0</v>
      </c>
      <c r="AS40" s="79">
        <v>0</v>
      </c>
      <c r="AT40" s="79">
        <v>0</v>
      </c>
      <c r="AU40" s="79">
        <v>0</v>
      </c>
      <c r="AV40" s="79">
        <v>0</v>
      </c>
      <c r="AW40" s="79">
        <v>0</v>
      </c>
      <c r="AX40" s="79">
        <v>0</v>
      </c>
      <c r="AY40" s="79">
        <v>0</v>
      </c>
      <c r="AZ40" s="79">
        <v>0</v>
      </c>
      <c r="BA40" s="79">
        <v>0</v>
      </c>
      <c r="BB40" s="79">
        <v>0</v>
      </c>
      <c r="BC40" s="79">
        <v>0</v>
      </c>
      <c r="BD40" s="79">
        <v>0</v>
      </c>
      <c r="BE40" s="79">
        <v>0</v>
      </c>
      <c r="BF40" s="79">
        <v>0</v>
      </c>
      <c r="BG40" s="79">
        <v>0</v>
      </c>
      <c r="BH40" s="79">
        <v>0</v>
      </c>
      <c r="BI40" s="79">
        <v>0</v>
      </c>
      <c r="BJ40" s="79">
        <v>0</v>
      </c>
      <c r="BK40" s="79">
        <v>0</v>
      </c>
      <c r="BL40" s="79">
        <v>0</v>
      </c>
      <c r="BM40" s="79">
        <v>0</v>
      </c>
    </row>
    <row r="41" spans="1:65" x14ac:dyDescent="0.25">
      <c r="A41" s="60">
        <f t="shared" si="3"/>
        <v>0</v>
      </c>
      <c r="B41" s="58" t="str">
        <f>'TB Data'!B46</f>
        <v>2108</v>
      </c>
      <c r="C41" s="60">
        <f t="shared" si="5"/>
        <v>1</v>
      </c>
      <c r="D41" s="84" t="s">
        <v>284</v>
      </c>
      <c r="E41" s="79">
        <v>0</v>
      </c>
      <c r="F41" s="79">
        <v>0</v>
      </c>
      <c r="G41" s="79">
        <v>0</v>
      </c>
      <c r="H41" s="79">
        <v>0</v>
      </c>
      <c r="I41" s="79">
        <v>0</v>
      </c>
      <c r="J41" s="79">
        <v>0</v>
      </c>
      <c r="K41" s="79">
        <v>0</v>
      </c>
      <c r="L41" s="79">
        <v>0</v>
      </c>
      <c r="M41" s="79">
        <v>0</v>
      </c>
      <c r="N41" s="79">
        <v>0</v>
      </c>
      <c r="O41" s="79">
        <v>0</v>
      </c>
      <c r="P41" s="79">
        <v>0</v>
      </c>
      <c r="Q41" s="79">
        <v>0</v>
      </c>
      <c r="R41" s="79">
        <v>0</v>
      </c>
      <c r="S41" s="79">
        <v>0</v>
      </c>
      <c r="T41" s="79">
        <v>0</v>
      </c>
      <c r="U41" s="79">
        <v>0</v>
      </c>
      <c r="V41" s="79">
        <v>0</v>
      </c>
      <c r="W41" s="79">
        <v>1</v>
      </c>
      <c r="X41" s="79">
        <v>0</v>
      </c>
      <c r="Y41" s="79">
        <v>0</v>
      </c>
      <c r="Z41" s="79">
        <v>0</v>
      </c>
      <c r="AA41" s="79">
        <v>0</v>
      </c>
      <c r="AB41" s="79">
        <v>0</v>
      </c>
      <c r="AC41" s="79">
        <v>0</v>
      </c>
      <c r="AD41" s="79">
        <v>0</v>
      </c>
      <c r="AE41" s="79">
        <v>0</v>
      </c>
      <c r="AF41" s="79">
        <v>0</v>
      </c>
      <c r="AG41" s="79">
        <v>0</v>
      </c>
      <c r="AH41" s="79">
        <v>0</v>
      </c>
      <c r="AI41" s="79">
        <v>0</v>
      </c>
      <c r="AJ41" s="79">
        <v>0</v>
      </c>
      <c r="AK41" s="79">
        <v>0</v>
      </c>
      <c r="AL41" s="79">
        <v>0</v>
      </c>
      <c r="AM41" s="79">
        <v>0</v>
      </c>
      <c r="AN41" s="79">
        <v>0</v>
      </c>
      <c r="AO41" s="79">
        <v>0</v>
      </c>
      <c r="AP41" s="79">
        <v>0</v>
      </c>
      <c r="AQ41" s="79">
        <v>0</v>
      </c>
      <c r="AR41" s="79">
        <v>0</v>
      </c>
      <c r="AS41" s="79">
        <v>0</v>
      </c>
      <c r="AT41" s="79">
        <v>0</v>
      </c>
      <c r="AU41" s="79">
        <v>0</v>
      </c>
      <c r="AV41" s="79">
        <v>0</v>
      </c>
      <c r="AW41" s="79">
        <v>0</v>
      </c>
      <c r="AX41" s="79">
        <v>0</v>
      </c>
      <c r="AY41" s="79">
        <v>0</v>
      </c>
      <c r="AZ41" s="79">
        <v>0</v>
      </c>
      <c r="BA41" s="79">
        <v>0</v>
      </c>
      <c r="BB41" s="79">
        <v>0</v>
      </c>
      <c r="BC41" s="79">
        <v>0</v>
      </c>
      <c r="BD41" s="79">
        <v>0</v>
      </c>
      <c r="BE41" s="79">
        <v>0</v>
      </c>
      <c r="BF41" s="79">
        <v>0</v>
      </c>
      <c r="BG41" s="79">
        <v>0</v>
      </c>
      <c r="BH41" s="79">
        <v>0</v>
      </c>
      <c r="BI41" s="79">
        <v>0</v>
      </c>
      <c r="BJ41" s="79">
        <v>0</v>
      </c>
      <c r="BK41" s="79">
        <v>0</v>
      </c>
      <c r="BL41" s="79">
        <v>0</v>
      </c>
      <c r="BM41" s="79">
        <v>0</v>
      </c>
    </row>
    <row r="42" spans="1:65" x14ac:dyDescent="0.25">
      <c r="A42" s="60">
        <f t="shared" si="3"/>
        <v>0</v>
      </c>
      <c r="B42" s="58" t="str">
        <f>'TB Data'!B47</f>
        <v>2109</v>
      </c>
      <c r="C42" s="60">
        <f t="shared" si="5"/>
        <v>1</v>
      </c>
      <c r="D42" s="84" t="s">
        <v>113</v>
      </c>
      <c r="E42" s="79">
        <v>0</v>
      </c>
      <c r="F42" s="79">
        <v>0</v>
      </c>
      <c r="G42" s="79">
        <v>0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0</v>
      </c>
      <c r="N42" s="79">
        <v>0</v>
      </c>
      <c r="O42" s="79">
        <v>0</v>
      </c>
      <c r="P42" s="79">
        <v>0</v>
      </c>
      <c r="Q42" s="79">
        <v>0</v>
      </c>
      <c r="R42" s="79">
        <v>0</v>
      </c>
      <c r="S42" s="79">
        <v>0</v>
      </c>
      <c r="T42" s="79">
        <v>0</v>
      </c>
      <c r="U42" s="79">
        <v>0</v>
      </c>
      <c r="V42" s="79">
        <v>1</v>
      </c>
      <c r="W42" s="79">
        <v>0</v>
      </c>
      <c r="X42" s="79">
        <v>0</v>
      </c>
      <c r="Y42" s="79">
        <v>0</v>
      </c>
      <c r="Z42" s="79">
        <v>0</v>
      </c>
      <c r="AA42" s="79">
        <v>0</v>
      </c>
      <c r="AB42" s="79">
        <v>0</v>
      </c>
      <c r="AC42" s="79">
        <v>0</v>
      </c>
      <c r="AD42" s="79">
        <v>0</v>
      </c>
      <c r="AE42" s="79">
        <v>0</v>
      </c>
      <c r="AF42" s="79">
        <v>0</v>
      </c>
      <c r="AG42" s="79">
        <v>0</v>
      </c>
      <c r="AH42" s="79">
        <v>0</v>
      </c>
      <c r="AI42" s="79">
        <v>0</v>
      </c>
      <c r="AJ42" s="79">
        <v>0</v>
      </c>
      <c r="AK42" s="79">
        <v>0</v>
      </c>
      <c r="AL42" s="79">
        <v>0</v>
      </c>
      <c r="AM42" s="79">
        <v>0</v>
      </c>
      <c r="AN42" s="79">
        <v>0</v>
      </c>
      <c r="AO42" s="79">
        <v>0</v>
      </c>
      <c r="AP42" s="79">
        <v>0</v>
      </c>
      <c r="AQ42" s="79">
        <v>0</v>
      </c>
      <c r="AR42" s="79">
        <v>0</v>
      </c>
      <c r="AS42" s="79">
        <v>0</v>
      </c>
      <c r="AT42" s="79">
        <v>0</v>
      </c>
      <c r="AU42" s="79">
        <v>0</v>
      </c>
      <c r="AV42" s="79">
        <v>0</v>
      </c>
      <c r="AW42" s="79">
        <v>0</v>
      </c>
      <c r="AX42" s="79">
        <v>0</v>
      </c>
      <c r="AY42" s="79">
        <v>0</v>
      </c>
      <c r="AZ42" s="79">
        <v>0</v>
      </c>
      <c r="BA42" s="79">
        <v>0</v>
      </c>
      <c r="BB42" s="79">
        <v>0</v>
      </c>
      <c r="BC42" s="79">
        <v>0</v>
      </c>
      <c r="BD42" s="79">
        <v>0</v>
      </c>
      <c r="BE42" s="79">
        <v>0</v>
      </c>
      <c r="BF42" s="79">
        <v>0</v>
      </c>
      <c r="BG42" s="79">
        <v>0</v>
      </c>
      <c r="BH42" s="79">
        <v>0</v>
      </c>
      <c r="BI42" s="79">
        <v>0</v>
      </c>
      <c r="BJ42" s="79">
        <v>0</v>
      </c>
      <c r="BK42" s="79">
        <v>0</v>
      </c>
      <c r="BL42" s="79">
        <v>0</v>
      </c>
      <c r="BM42" s="79">
        <v>0</v>
      </c>
    </row>
    <row r="43" spans="1:65" x14ac:dyDescent="0.25">
      <c r="A43" s="60">
        <f t="shared" si="3"/>
        <v>0</v>
      </c>
      <c r="B43" s="58" t="str">
        <f>'TB Data'!B48</f>
        <v>2200</v>
      </c>
      <c r="C43" s="60">
        <f t="shared" si="5"/>
        <v>1</v>
      </c>
      <c r="D43" s="84" t="s">
        <v>112</v>
      </c>
      <c r="E43" s="79">
        <v>0</v>
      </c>
      <c r="F43" s="79">
        <v>0</v>
      </c>
      <c r="G43" s="79">
        <v>0</v>
      </c>
      <c r="H43" s="79">
        <v>0</v>
      </c>
      <c r="I43" s="79">
        <v>0</v>
      </c>
      <c r="J43" s="79">
        <v>0</v>
      </c>
      <c r="K43" s="79">
        <v>0</v>
      </c>
      <c r="L43" s="79">
        <v>0</v>
      </c>
      <c r="M43" s="79">
        <v>0</v>
      </c>
      <c r="N43" s="79">
        <v>0</v>
      </c>
      <c r="O43" s="79">
        <v>0</v>
      </c>
      <c r="P43" s="79">
        <v>0</v>
      </c>
      <c r="Q43" s="79">
        <v>0</v>
      </c>
      <c r="R43" s="79">
        <v>0</v>
      </c>
      <c r="S43" s="79">
        <v>0</v>
      </c>
      <c r="T43" s="79">
        <v>0</v>
      </c>
      <c r="U43" s="79">
        <v>1</v>
      </c>
      <c r="V43" s="79">
        <v>0</v>
      </c>
      <c r="W43" s="79">
        <v>0</v>
      </c>
      <c r="X43" s="79">
        <v>0</v>
      </c>
      <c r="Y43" s="79">
        <v>0</v>
      </c>
      <c r="Z43" s="79">
        <v>0</v>
      </c>
      <c r="AA43" s="79">
        <v>0</v>
      </c>
      <c r="AB43" s="79">
        <v>0</v>
      </c>
      <c r="AC43" s="79">
        <v>0</v>
      </c>
      <c r="AD43" s="79">
        <v>0</v>
      </c>
      <c r="AE43" s="79">
        <v>0</v>
      </c>
      <c r="AF43" s="79">
        <v>0</v>
      </c>
      <c r="AG43" s="79">
        <v>0</v>
      </c>
      <c r="AH43" s="79">
        <v>0</v>
      </c>
      <c r="AI43" s="79">
        <v>0</v>
      </c>
      <c r="AJ43" s="79">
        <v>0</v>
      </c>
      <c r="AK43" s="79">
        <v>0</v>
      </c>
      <c r="AL43" s="79">
        <v>0</v>
      </c>
      <c r="AM43" s="79">
        <v>0</v>
      </c>
      <c r="AN43" s="79">
        <v>0</v>
      </c>
      <c r="AO43" s="79">
        <v>0</v>
      </c>
      <c r="AP43" s="79">
        <v>0</v>
      </c>
      <c r="AQ43" s="79">
        <v>0</v>
      </c>
      <c r="AR43" s="79">
        <v>0</v>
      </c>
      <c r="AS43" s="79">
        <v>0</v>
      </c>
      <c r="AT43" s="79">
        <v>0</v>
      </c>
      <c r="AU43" s="79">
        <v>0</v>
      </c>
      <c r="AV43" s="79">
        <v>0</v>
      </c>
      <c r="AW43" s="79">
        <v>0</v>
      </c>
      <c r="AX43" s="79">
        <v>0</v>
      </c>
      <c r="AY43" s="79">
        <v>0</v>
      </c>
      <c r="AZ43" s="79">
        <v>0</v>
      </c>
      <c r="BA43" s="79">
        <v>0</v>
      </c>
      <c r="BB43" s="79">
        <v>0</v>
      </c>
      <c r="BC43" s="79">
        <v>0</v>
      </c>
      <c r="BD43" s="79">
        <v>0</v>
      </c>
      <c r="BE43" s="79">
        <v>0</v>
      </c>
      <c r="BF43" s="79">
        <v>0</v>
      </c>
      <c r="BG43" s="79">
        <v>0</v>
      </c>
      <c r="BH43" s="79">
        <v>0</v>
      </c>
      <c r="BI43" s="79">
        <v>0</v>
      </c>
      <c r="BJ43" s="79">
        <v>0</v>
      </c>
      <c r="BK43" s="79">
        <v>0</v>
      </c>
      <c r="BL43" s="79">
        <v>0</v>
      </c>
      <c r="BM43" s="79">
        <v>0</v>
      </c>
    </row>
    <row r="44" spans="1:65" x14ac:dyDescent="0.25">
      <c r="A44" s="60">
        <f t="shared" si="3"/>
        <v>0</v>
      </c>
      <c r="B44" s="58" t="str">
        <f>'TB Data'!B49</f>
        <v>2201</v>
      </c>
      <c r="C44" s="60">
        <f t="shared" si="5"/>
        <v>1</v>
      </c>
      <c r="D44" s="84" t="s">
        <v>111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0</v>
      </c>
      <c r="N44" s="79">
        <v>0</v>
      </c>
      <c r="O44" s="79">
        <v>0</v>
      </c>
      <c r="P44" s="79">
        <v>0</v>
      </c>
      <c r="Q44" s="79">
        <v>0</v>
      </c>
      <c r="R44" s="79">
        <v>0</v>
      </c>
      <c r="S44" s="79">
        <v>0</v>
      </c>
      <c r="T44" s="79">
        <v>0</v>
      </c>
      <c r="U44" s="79">
        <v>1</v>
      </c>
      <c r="V44" s="79">
        <v>0</v>
      </c>
      <c r="W44" s="79">
        <v>0</v>
      </c>
      <c r="X44" s="79">
        <v>0</v>
      </c>
      <c r="Y44" s="79">
        <v>0</v>
      </c>
      <c r="Z44" s="79">
        <v>0</v>
      </c>
      <c r="AA44" s="79">
        <v>0</v>
      </c>
      <c r="AB44" s="79">
        <v>0</v>
      </c>
      <c r="AC44" s="79">
        <v>0</v>
      </c>
      <c r="AD44" s="79">
        <v>0</v>
      </c>
      <c r="AE44" s="79">
        <v>0</v>
      </c>
      <c r="AF44" s="79">
        <v>0</v>
      </c>
      <c r="AG44" s="79">
        <v>0</v>
      </c>
      <c r="AH44" s="79">
        <v>0</v>
      </c>
      <c r="AI44" s="79">
        <v>0</v>
      </c>
      <c r="AJ44" s="79">
        <v>0</v>
      </c>
      <c r="AK44" s="79">
        <v>0</v>
      </c>
      <c r="AL44" s="79">
        <v>0</v>
      </c>
      <c r="AM44" s="79">
        <v>0</v>
      </c>
      <c r="AN44" s="79">
        <v>0</v>
      </c>
      <c r="AO44" s="79">
        <v>0</v>
      </c>
      <c r="AP44" s="79">
        <v>0</v>
      </c>
      <c r="AQ44" s="79">
        <v>0</v>
      </c>
      <c r="AR44" s="79">
        <v>0</v>
      </c>
      <c r="AS44" s="79">
        <v>0</v>
      </c>
      <c r="AT44" s="79">
        <v>0</v>
      </c>
      <c r="AU44" s="79">
        <v>0</v>
      </c>
      <c r="AV44" s="79">
        <v>0</v>
      </c>
      <c r="AW44" s="79">
        <v>0</v>
      </c>
      <c r="AX44" s="79">
        <v>0</v>
      </c>
      <c r="AY44" s="79">
        <v>0</v>
      </c>
      <c r="AZ44" s="79">
        <v>0</v>
      </c>
      <c r="BA44" s="79">
        <v>0</v>
      </c>
      <c r="BB44" s="79">
        <v>0</v>
      </c>
      <c r="BC44" s="79">
        <v>0</v>
      </c>
      <c r="BD44" s="79">
        <v>0</v>
      </c>
      <c r="BE44" s="79">
        <v>0</v>
      </c>
      <c r="BF44" s="79">
        <v>0</v>
      </c>
      <c r="BG44" s="79">
        <v>0</v>
      </c>
      <c r="BH44" s="79">
        <v>0</v>
      </c>
      <c r="BI44" s="79">
        <v>0</v>
      </c>
      <c r="BJ44" s="79">
        <v>0</v>
      </c>
      <c r="BK44" s="79">
        <v>0</v>
      </c>
      <c r="BL44" s="79">
        <v>0</v>
      </c>
      <c r="BM44" s="79">
        <v>0</v>
      </c>
    </row>
    <row r="45" spans="1:65" x14ac:dyDescent="0.25">
      <c r="A45" s="60">
        <f t="shared" si="3"/>
        <v>0</v>
      </c>
      <c r="B45" s="58" t="str">
        <f>'TB Data'!B50</f>
        <v>2202</v>
      </c>
      <c r="C45" s="60">
        <f t="shared" si="5"/>
        <v>1</v>
      </c>
      <c r="D45" s="84" t="s">
        <v>110</v>
      </c>
      <c r="E45" s="79">
        <v>0</v>
      </c>
      <c r="F45" s="79">
        <v>0</v>
      </c>
      <c r="G45" s="79">
        <v>0</v>
      </c>
      <c r="H45" s="79">
        <v>0</v>
      </c>
      <c r="I45" s="79">
        <v>0</v>
      </c>
      <c r="J45" s="79">
        <v>0</v>
      </c>
      <c r="K45" s="79">
        <v>0</v>
      </c>
      <c r="L45" s="79">
        <v>0</v>
      </c>
      <c r="M45" s="79">
        <v>0</v>
      </c>
      <c r="N45" s="79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9">
        <v>0</v>
      </c>
      <c r="U45" s="79">
        <v>1</v>
      </c>
      <c r="V45" s="79">
        <v>0</v>
      </c>
      <c r="W45" s="79">
        <v>0</v>
      </c>
      <c r="X45" s="79">
        <v>0</v>
      </c>
      <c r="Y45" s="79">
        <v>0</v>
      </c>
      <c r="Z45" s="79">
        <v>0</v>
      </c>
      <c r="AA45" s="79">
        <v>0</v>
      </c>
      <c r="AB45" s="79">
        <v>0</v>
      </c>
      <c r="AC45" s="79">
        <v>0</v>
      </c>
      <c r="AD45" s="79">
        <v>0</v>
      </c>
      <c r="AE45" s="79">
        <v>0</v>
      </c>
      <c r="AF45" s="79">
        <v>0</v>
      </c>
      <c r="AG45" s="79">
        <v>0</v>
      </c>
      <c r="AH45" s="79">
        <v>0</v>
      </c>
      <c r="AI45" s="79">
        <v>0</v>
      </c>
      <c r="AJ45" s="79">
        <v>0</v>
      </c>
      <c r="AK45" s="79">
        <v>0</v>
      </c>
      <c r="AL45" s="79">
        <v>0</v>
      </c>
      <c r="AM45" s="79">
        <v>0</v>
      </c>
      <c r="AN45" s="79">
        <v>0</v>
      </c>
      <c r="AO45" s="79">
        <v>0</v>
      </c>
      <c r="AP45" s="79">
        <v>0</v>
      </c>
      <c r="AQ45" s="79">
        <v>0</v>
      </c>
      <c r="AR45" s="79">
        <v>0</v>
      </c>
      <c r="AS45" s="79">
        <v>0</v>
      </c>
      <c r="AT45" s="79">
        <v>0</v>
      </c>
      <c r="AU45" s="79">
        <v>0</v>
      </c>
      <c r="AV45" s="79">
        <v>0</v>
      </c>
      <c r="AW45" s="79">
        <v>0</v>
      </c>
      <c r="AX45" s="79">
        <v>0</v>
      </c>
      <c r="AY45" s="79">
        <v>0</v>
      </c>
      <c r="AZ45" s="79">
        <v>0</v>
      </c>
      <c r="BA45" s="79">
        <v>0</v>
      </c>
      <c r="BB45" s="79">
        <v>0</v>
      </c>
      <c r="BC45" s="79">
        <v>0</v>
      </c>
      <c r="BD45" s="79">
        <v>0</v>
      </c>
      <c r="BE45" s="79">
        <v>0</v>
      </c>
      <c r="BF45" s="79">
        <v>0</v>
      </c>
      <c r="BG45" s="79">
        <v>0</v>
      </c>
      <c r="BH45" s="79">
        <v>0</v>
      </c>
      <c r="BI45" s="79">
        <v>0</v>
      </c>
      <c r="BJ45" s="79">
        <v>0</v>
      </c>
      <c r="BK45" s="79">
        <v>0</v>
      </c>
      <c r="BL45" s="79">
        <v>0</v>
      </c>
      <c r="BM45" s="79">
        <v>0</v>
      </c>
    </row>
    <row r="46" spans="1:65" s="79" customFormat="1" x14ac:dyDescent="0.25">
      <c r="A46" s="60">
        <f t="shared" si="3"/>
        <v>0</v>
      </c>
      <c r="B46" s="58">
        <f>'TB Data'!B51</f>
        <v>2204</v>
      </c>
      <c r="C46" s="60">
        <f t="shared" si="5"/>
        <v>1</v>
      </c>
      <c r="D46" s="84">
        <v>2204</v>
      </c>
      <c r="E46" s="79">
        <v>0</v>
      </c>
      <c r="F46" s="79">
        <v>0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0</v>
      </c>
      <c r="M46" s="79">
        <v>0</v>
      </c>
      <c r="N46" s="79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9">
        <v>0</v>
      </c>
      <c r="U46" s="79">
        <v>1</v>
      </c>
      <c r="V46" s="79">
        <v>0</v>
      </c>
      <c r="W46" s="79">
        <v>0</v>
      </c>
      <c r="X46" s="79">
        <v>0</v>
      </c>
      <c r="Y46" s="79">
        <v>0</v>
      </c>
      <c r="Z46" s="79">
        <v>0</v>
      </c>
      <c r="AA46" s="79">
        <v>0</v>
      </c>
      <c r="AB46" s="79">
        <v>0</v>
      </c>
      <c r="AC46" s="79">
        <v>0</v>
      </c>
      <c r="AD46" s="79">
        <v>0</v>
      </c>
      <c r="AE46" s="79">
        <v>0</v>
      </c>
      <c r="AF46" s="79">
        <v>0</v>
      </c>
      <c r="AG46" s="79">
        <v>0</v>
      </c>
      <c r="AH46" s="79">
        <v>0</v>
      </c>
      <c r="AI46" s="79">
        <v>0</v>
      </c>
      <c r="AJ46" s="79">
        <v>0</v>
      </c>
      <c r="AK46" s="79">
        <v>0</v>
      </c>
      <c r="AL46" s="79">
        <v>0</v>
      </c>
      <c r="AM46" s="79">
        <v>0</v>
      </c>
      <c r="AN46" s="79">
        <v>0</v>
      </c>
      <c r="AO46" s="79">
        <v>0</v>
      </c>
      <c r="AP46" s="79">
        <v>0</v>
      </c>
      <c r="AQ46" s="79">
        <v>0</v>
      </c>
      <c r="AR46" s="79">
        <v>0</v>
      </c>
      <c r="AS46" s="79">
        <v>0</v>
      </c>
      <c r="AT46" s="79">
        <v>0</v>
      </c>
      <c r="AU46" s="79">
        <v>0</v>
      </c>
      <c r="AV46" s="79">
        <v>0</v>
      </c>
      <c r="AW46" s="79">
        <v>0</v>
      </c>
      <c r="AX46" s="79">
        <v>0</v>
      </c>
      <c r="AY46" s="79">
        <v>0</v>
      </c>
      <c r="AZ46" s="79">
        <v>0</v>
      </c>
      <c r="BA46" s="79">
        <v>0</v>
      </c>
      <c r="BB46" s="79">
        <v>0</v>
      </c>
      <c r="BC46" s="79">
        <v>0</v>
      </c>
      <c r="BD46" s="79">
        <v>0</v>
      </c>
      <c r="BE46" s="79">
        <v>0</v>
      </c>
      <c r="BF46" s="79">
        <v>0</v>
      </c>
      <c r="BG46" s="79">
        <v>0</v>
      </c>
      <c r="BH46" s="79">
        <v>0</v>
      </c>
      <c r="BI46" s="79">
        <v>0</v>
      </c>
      <c r="BJ46" s="79">
        <v>0</v>
      </c>
      <c r="BK46" s="79">
        <v>0</v>
      </c>
      <c r="BL46" s="79">
        <v>0</v>
      </c>
      <c r="BM46" s="79">
        <v>0</v>
      </c>
    </row>
    <row r="47" spans="1:65" x14ac:dyDescent="0.25">
      <c r="A47" s="60">
        <f t="shared" si="3"/>
        <v>0</v>
      </c>
      <c r="B47" s="58" t="str">
        <f>'TB Data'!B52</f>
        <v>2210</v>
      </c>
      <c r="C47" s="60">
        <f t="shared" si="5"/>
        <v>1</v>
      </c>
      <c r="D47" s="84" t="s">
        <v>109</v>
      </c>
      <c r="E47" s="79">
        <v>0</v>
      </c>
      <c r="F47" s="79">
        <v>0</v>
      </c>
      <c r="G47" s="79">
        <v>0</v>
      </c>
      <c r="H47" s="79">
        <v>0</v>
      </c>
      <c r="I47" s="79">
        <v>0</v>
      </c>
      <c r="J47" s="79">
        <v>0</v>
      </c>
      <c r="K47" s="79">
        <v>0</v>
      </c>
      <c r="L47" s="79">
        <v>0</v>
      </c>
      <c r="M47" s="79">
        <v>0</v>
      </c>
      <c r="N47" s="79">
        <v>0</v>
      </c>
      <c r="O47" s="79">
        <v>0</v>
      </c>
      <c r="P47" s="79">
        <v>0</v>
      </c>
      <c r="Q47" s="79">
        <v>0</v>
      </c>
      <c r="R47" s="79">
        <v>0</v>
      </c>
      <c r="S47" s="79">
        <v>0</v>
      </c>
      <c r="T47" s="79">
        <v>1</v>
      </c>
      <c r="U47" s="79">
        <v>0</v>
      </c>
      <c r="V47" s="79">
        <v>0</v>
      </c>
      <c r="W47" s="79">
        <v>0</v>
      </c>
      <c r="X47" s="79">
        <v>0</v>
      </c>
      <c r="Y47" s="79">
        <v>0</v>
      </c>
      <c r="Z47" s="79">
        <v>0</v>
      </c>
      <c r="AA47" s="79">
        <v>0</v>
      </c>
      <c r="AB47" s="79">
        <v>0</v>
      </c>
      <c r="AC47" s="79">
        <v>0</v>
      </c>
      <c r="AD47" s="79">
        <v>0</v>
      </c>
      <c r="AE47" s="79">
        <v>0</v>
      </c>
      <c r="AF47" s="79">
        <v>0</v>
      </c>
      <c r="AG47" s="79">
        <v>0</v>
      </c>
      <c r="AH47" s="79">
        <v>0</v>
      </c>
      <c r="AI47" s="79">
        <v>0</v>
      </c>
      <c r="AJ47" s="79">
        <v>0</v>
      </c>
      <c r="AK47" s="79">
        <v>0</v>
      </c>
      <c r="AL47" s="79">
        <v>0</v>
      </c>
      <c r="AM47" s="79">
        <v>0</v>
      </c>
      <c r="AN47" s="79">
        <v>0</v>
      </c>
      <c r="AO47" s="79">
        <v>0</v>
      </c>
      <c r="AP47" s="79">
        <v>0</v>
      </c>
      <c r="AQ47" s="79">
        <v>0</v>
      </c>
      <c r="AR47" s="79">
        <v>0</v>
      </c>
      <c r="AS47" s="79">
        <v>0</v>
      </c>
      <c r="AT47" s="79">
        <v>0</v>
      </c>
      <c r="AU47" s="79">
        <v>0</v>
      </c>
      <c r="AV47" s="79">
        <v>0</v>
      </c>
      <c r="AW47" s="79">
        <v>0</v>
      </c>
      <c r="AX47" s="79">
        <v>0</v>
      </c>
      <c r="AY47" s="79">
        <v>0</v>
      </c>
      <c r="AZ47" s="79">
        <v>0</v>
      </c>
      <c r="BA47" s="79">
        <v>0</v>
      </c>
      <c r="BB47" s="79">
        <v>0</v>
      </c>
      <c r="BC47" s="79">
        <v>0</v>
      </c>
      <c r="BD47" s="79">
        <v>0</v>
      </c>
      <c r="BE47" s="79">
        <v>0</v>
      </c>
      <c r="BF47" s="79">
        <v>0</v>
      </c>
      <c r="BG47" s="79">
        <v>0</v>
      </c>
      <c r="BH47" s="79">
        <v>0</v>
      </c>
      <c r="BI47" s="79">
        <v>0</v>
      </c>
      <c r="BJ47" s="79">
        <v>0</v>
      </c>
      <c r="BK47" s="79">
        <v>0</v>
      </c>
      <c r="BL47" s="79">
        <v>0</v>
      </c>
      <c r="BM47" s="79">
        <v>0</v>
      </c>
    </row>
    <row r="48" spans="1:65" s="79" customFormat="1" x14ac:dyDescent="0.25">
      <c r="A48" s="60">
        <f t="shared" si="3"/>
        <v>0</v>
      </c>
      <c r="B48" s="58" t="str">
        <f>'TB Data'!B53</f>
        <v>2211</v>
      </c>
      <c r="C48" s="60">
        <f t="shared" si="5"/>
        <v>1</v>
      </c>
      <c r="D48" s="84" t="s">
        <v>108</v>
      </c>
      <c r="E48" s="79">
        <v>0</v>
      </c>
      <c r="F48" s="79">
        <v>0</v>
      </c>
      <c r="G48" s="79">
        <v>0</v>
      </c>
      <c r="H48" s="79">
        <v>0</v>
      </c>
      <c r="I48" s="79">
        <v>0</v>
      </c>
      <c r="J48" s="79">
        <v>0</v>
      </c>
      <c r="K48" s="79">
        <v>0</v>
      </c>
      <c r="L48" s="79">
        <v>0</v>
      </c>
      <c r="M48" s="79">
        <v>0</v>
      </c>
      <c r="N48" s="79">
        <v>0</v>
      </c>
      <c r="O48" s="79">
        <v>0</v>
      </c>
      <c r="P48" s="79">
        <v>0</v>
      </c>
      <c r="Q48" s="79">
        <v>0</v>
      </c>
      <c r="R48" s="79">
        <v>0</v>
      </c>
      <c r="S48" s="79">
        <v>0</v>
      </c>
      <c r="T48" s="79">
        <v>1</v>
      </c>
      <c r="U48" s="79">
        <v>0</v>
      </c>
      <c r="V48" s="79">
        <v>0</v>
      </c>
      <c r="W48" s="79">
        <v>0</v>
      </c>
      <c r="X48" s="79">
        <v>0</v>
      </c>
      <c r="Y48" s="79">
        <v>0</v>
      </c>
      <c r="Z48" s="79">
        <v>0</v>
      </c>
      <c r="AA48" s="79">
        <v>0</v>
      </c>
      <c r="AB48" s="79">
        <v>0</v>
      </c>
      <c r="AC48" s="79">
        <v>0</v>
      </c>
      <c r="AD48" s="79">
        <v>0</v>
      </c>
      <c r="AE48" s="79">
        <v>0</v>
      </c>
      <c r="AF48" s="79">
        <v>0</v>
      </c>
      <c r="AG48" s="79">
        <v>0</v>
      </c>
      <c r="AH48" s="79">
        <v>0</v>
      </c>
      <c r="AI48" s="79">
        <v>0</v>
      </c>
      <c r="AJ48" s="79">
        <v>0</v>
      </c>
      <c r="AK48" s="79">
        <v>0</v>
      </c>
      <c r="AL48" s="79">
        <v>0</v>
      </c>
      <c r="AM48" s="79">
        <v>0</v>
      </c>
      <c r="AN48" s="79">
        <v>0</v>
      </c>
      <c r="AO48" s="79">
        <v>0</v>
      </c>
      <c r="AP48" s="79">
        <v>0</v>
      </c>
      <c r="AQ48" s="79">
        <v>0</v>
      </c>
      <c r="AR48" s="79">
        <v>0</v>
      </c>
      <c r="AS48" s="79">
        <v>0</v>
      </c>
      <c r="AT48" s="79">
        <v>0</v>
      </c>
      <c r="AU48" s="79">
        <v>0</v>
      </c>
      <c r="AV48" s="79">
        <v>0</v>
      </c>
      <c r="AW48" s="79">
        <v>0</v>
      </c>
      <c r="AX48" s="79">
        <v>0</v>
      </c>
      <c r="AY48" s="79">
        <v>0</v>
      </c>
      <c r="AZ48" s="79">
        <v>0</v>
      </c>
      <c r="BA48" s="79">
        <v>0</v>
      </c>
      <c r="BB48" s="79">
        <v>0</v>
      </c>
      <c r="BC48" s="79">
        <v>0</v>
      </c>
      <c r="BD48" s="79">
        <v>0</v>
      </c>
      <c r="BE48" s="79">
        <v>0</v>
      </c>
      <c r="BF48" s="79">
        <v>0</v>
      </c>
      <c r="BG48" s="79">
        <v>0</v>
      </c>
      <c r="BH48" s="79">
        <v>0</v>
      </c>
      <c r="BI48" s="79">
        <v>0</v>
      </c>
      <c r="BJ48" s="79">
        <v>0</v>
      </c>
      <c r="BK48" s="79">
        <v>0</v>
      </c>
      <c r="BL48" s="79">
        <v>0</v>
      </c>
      <c r="BM48" s="79">
        <v>0</v>
      </c>
    </row>
    <row r="49" spans="1:65" x14ac:dyDescent="0.25">
      <c r="A49" s="60">
        <f t="shared" si="3"/>
        <v>0</v>
      </c>
      <c r="B49" s="58" t="str">
        <f>'TB Data'!B54</f>
        <v>2220</v>
      </c>
      <c r="C49" s="60">
        <f t="shared" si="5"/>
        <v>1</v>
      </c>
      <c r="D49" s="84" t="s">
        <v>107</v>
      </c>
      <c r="E49" s="79">
        <v>0</v>
      </c>
      <c r="F49" s="79">
        <v>0</v>
      </c>
      <c r="G49" s="79">
        <v>0</v>
      </c>
      <c r="H49" s="79">
        <v>0</v>
      </c>
      <c r="I49" s="79">
        <v>0</v>
      </c>
      <c r="J49" s="79">
        <v>0</v>
      </c>
      <c r="K49" s="79">
        <v>0</v>
      </c>
      <c r="L49" s="79">
        <v>0</v>
      </c>
      <c r="M49" s="79">
        <v>0</v>
      </c>
      <c r="N49" s="79">
        <v>0</v>
      </c>
      <c r="O49" s="79">
        <v>1</v>
      </c>
      <c r="P49" s="79">
        <v>0</v>
      </c>
      <c r="Q49" s="79">
        <v>0</v>
      </c>
      <c r="R49" s="79">
        <v>0</v>
      </c>
      <c r="S49" s="79">
        <v>0</v>
      </c>
      <c r="T49" s="79">
        <v>0</v>
      </c>
      <c r="U49" s="79">
        <v>0</v>
      </c>
      <c r="V49" s="79">
        <v>0</v>
      </c>
      <c r="W49" s="79">
        <v>0</v>
      </c>
      <c r="X49" s="79">
        <v>0</v>
      </c>
      <c r="Y49" s="79">
        <v>0</v>
      </c>
      <c r="Z49" s="79">
        <v>0</v>
      </c>
      <c r="AA49" s="79">
        <v>0</v>
      </c>
      <c r="AB49" s="79">
        <v>0</v>
      </c>
      <c r="AC49" s="79">
        <v>0</v>
      </c>
      <c r="AD49" s="79">
        <v>0</v>
      </c>
      <c r="AE49" s="79">
        <v>0</v>
      </c>
      <c r="AF49" s="79">
        <v>0</v>
      </c>
      <c r="AG49" s="79">
        <v>0</v>
      </c>
      <c r="AH49" s="79">
        <v>0</v>
      </c>
      <c r="AI49" s="79">
        <v>0</v>
      </c>
      <c r="AJ49" s="79">
        <v>0</v>
      </c>
      <c r="AK49" s="79">
        <v>0</v>
      </c>
      <c r="AL49" s="79">
        <v>0</v>
      </c>
      <c r="AM49" s="79">
        <v>0</v>
      </c>
      <c r="AN49" s="79">
        <v>0</v>
      </c>
      <c r="AO49" s="79">
        <v>0</v>
      </c>
      <c r="AP49" s="79">
        <v>0</v>
      </c>
      <c r="AQ49" s="79">
        <v>0</v>
      </c>
      <c r="AR49" s="79">
        <v>0</v>
      </c>
      <c r="AS49" s="79">
        <v>0</v>
      </c>
      <c r="AT49" s="79">
        <v>0</v>
      </c>
      <c r="AU49" s="79">
        <v>0</v>
      </c>
      <c r="AV49" s="79">
        <v>0</v>
      </c>
      <c r="AW49" s="79">
        <v>0</v>
      </c>
      <c r="AX49" s="79">
        <v>0</v>
      </c>
      <c r="AY49" s="79">
        <v>0</v>
      </c>
      <c r="AZ49" s="79">
        <v>0</v>
      </c>
      <c r="BA49" s="79">
        <v>0</v>
      </c>
      <c r="BB49" s="79">
        <v>0</v>
      </c>
      <c r="BC49" s="79">
        <v>0</v>
      </c>
      <c r="BD49" s="79">
        <v>0</v>
      </c>
      <c r="BE49" s="79">
        <v>0</v>
      </c>
      <c r="BF49" s="79">
        <v>0</v>
      </c>
      <c r="BG49" s="79">
        <v>0</v>
      </c>
      <c r="BH49" s="79">
        <v>0</v>
      </c>
      <c r="BI49" s="79">
        <v>0</v>
      </c>
      <c r="BJ49" s="79">
        <v>0</v>
      </c>
      <c r="BK49" s="79">
        <v>0</v>
      </c>
      <c r="BL49" s="79">
        <v>0</v>
      </c>
      <c r="BM49" s="79">
        <v>0</v>
      </c>
    </row>
    <row r="50" spans="1:65" s="79" customFormat="1" x14ac:dyDescent="0.25">
      <c r="A50" s="60">
        <f t="shared" si="3"/>
        <v>0</v>
      </c>
      <c r="B50" s="58" t="str">
        <f>'TB Data'!B55</f>
        <v>2320</v>
      </c>
      <c r="C50" s="60">
        <f t="shared" si="5"/>
        <v>1</v>
      </c>
      <c r="D50" s="84" t="s">
        <v>231</v>
      </c>
      <c r="E50" s="79">
        <v>0</v>
      </c>
      <c r="F50" s="79">
        <v>0</v>
      </c>
      <c r="G50" s="79">
        <v>0</v>
      </c>
      <c r="H50" s="79">
        <v>0</v>
      </c>
      <c r="I50" s="79">
        <v>0</v>
      </c>
      <c r="J50" s="79">
        <v>0</v>
      </c>
      <c r="K50" s="79">
        <v>0</v>
      </c>
      <c r="L50" s="79">
        <v>0</v>
      </c>
      <c r="M50" s="79">
        <v>0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S50" s="79">
        <v>1</v>
      </c>
      <c r="T50" s="79">
        <v>0</v>
      </c>
      <c r="U50" s="79">
        <v>0</v>
      </c>
      <c r="V50" s="79">
        <v>0</v>
      </c>
      <c r="W50" s="79">
        <v>0</v>
      </c>
      <c r="X50" s="79">
        <v>0</v>
      </c>
      <c r="Y50" s="79">
        <v>0</v>
      </c>
      <c r="Z50" s="79">
        <v>0</v>
      </c>
      <c r="AA50" s="79">
        <v>0</v>
      </c>
      <c r="AB50" s="79">
        <v>0</v>
      </c>
      <c r="AC50" s="79">
        <v>0</v>
      </c>
      <c r="AD50" s="79">
        <v>0</v>
      </c>
      <c r="AE50" s="79">
        <v>0</v>
      </c>
      <c r="AF50" s="79">
        <v>0</v>
      </c>
      <c r="AG50" s="79">
        <v>0</v>
      </c>
      <c r="AH50" s="79">
        <v>0</v>
      </c>
      <c r="AI50" s="79">
        <v>0</v>
      </c>
      <c r="AJ50" s="79">
        <v>0</v>
      </c>
      <c r="AK50" s="79">
        <v>0</v>
      </c>
      <c r="AL50" s="79">
        <v>0</v>
      </c>
      <c r="AM50" s="79">
        <v>0</v>
      </c>
      <c r="AN50" s="79">
        <v>0</v>
      </c>
      <c r="AO50" s="79">
        <v>0</v>
      </c>
      <c r="AP50" s="79">
        <v>0</v>
      </c>
      <c r="AQ50" s="79">
        <v>0</v>
      </c>
      <c r="AR50" s="79">
        <v>0</v>
      </c>
      <c r="AS50" s="79">
        <v>0</v>
      </c>
      <c r="AT50" s="79">
        <v>0</v>
      </c>
      <c r="AU50" s="79">
        <v>0</v>
      </c>
      <c r="AV50" s="79">
        <v>0</v>
      </c>
      <c r="AW50" s="79">
        <v>0</v>
      </c>
      <c r="AX50" s="79">
        <v>0</v>
      </c>
      <c r="AY50" s="79">
        <v>0</v>
      </c>
      <c r="AZ50" s="79">
        <v>0</v>
      </c>
      <c r="BA50" s="79">
        <v>0</v>
      </c>
      <c r="BB50" s="79">
        <v>0</v>
      </c>
      <c r="BC50" s="79">
        <v>0</v>
      </c>
      <c r="BD50" s="79">
        <v>0</v>
      </c>
      <c r="BE50" s="79">
        <v>0</v>
      </c>
      <c r="BF50" s="79">
        <v>0</v>
      </c>
      <c r="BG50" s="79">
        <v>0</v>
      </c>
      <c r="BH50" s="79">
        <v>0</v>
      </c>
      <c r="BI50" s="79">
        <v>0</v>
      </c>
      <c r="BJ50" s="79">
        <v>0</v>
      </c>
      <c r="BK50" s="79">
        <v>0</v>
      </c>
      <c r="BL50" s="79">
        <v>0</v>
      </c>
      <c r="BM50" s="79">
        <v>0</v>
      </c>
    </row>
    <row r="51" spans="1:65" x14ac:dyDescent="0.25">
      <c r="A51" s="60">
        <f t="shared" si="3"/>
        <v>0</v>
      </c>
      <c r="B51" s="58" t="str">
        <f>'TB Data'!B56</f>
        <v>3000</v>
      </c>
      <c r="C51" s="60">
        <f t="shared" si="5"/>
        <v>1</v>
      </c>
      <c r="D51" s="84" t="s">
        <v>285</v>
      </c>
      <c r="E51" s="79">
        <v>0</v>
      </c>
      <c r="F51" s="79">
        <v>0</v>
      </c>
      <c r="G51" s="79">
        <v>0</v>
      </c>
      <c r="H51" s="79">
        <v>0</v>
      </c>
      <c r="I51" s="79">
        <v>0</v>
      </c>
      <c r="J51" s="79">
        <v>0</v>
      </c>
      <c r="K51" s="79">
        <v>0</v>
      </c>
      <c r="L51" s="79">
        <v>0</v>
      </c>
      <c r="M51" s="79">
        <v>0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S51" s="79">
        <v>0</v>
      </c>
      <c r="T51" s="79">
        <v>0</v>
      </c>
      <c r="U51" s="79">
        <v>0</v>
      </c>
      <c r="V51" s="79">
        <v>0</v>
      </c>
      <c r="W51" s="79">
        <v>0</v>
      </c>
      <c r="X51" s="79">
        <v>1</v>
      </c>
      <c r="Y51" s="79">
        <v>0</v>
      </c>
      <c r="Z51" s="79">
        <v>0</v>
      </c>
      <c r="AA51" s="79">
        <v>0</v>
      </c>
      <c r="AB51" s="79">
        <v>0</v>
      </c>
      <c r="AC51" s="79">
        <v>0</v>
      </c>
      <c r="AD51" s="79">
        <v>0</v>
      </c>
      <c r="AE51" s="79">
        <v>0</v>
      </c>
      <c r="AF51" s="79">
        <v>0</v>
      </c>
      <c r="AG51" s="79">
        <v>0</v>
      </c>
      <c r="AH51" s="79">
        <v>0</v>
      </c>
      <c r="AI51" s="79">
        <v>0</v>
      </c>
      <c r="AJ51" s="79">
        <v>0</v>
      </c>
      <c r="AK51" s="79">
        <v>0</v>
      </c>
      <c r="AL51" s="79">
        <v>0</v>
      </c>
      <c r="AM51" s="79">
        <v>0</v>
      </c>
      <c r="AN51" s="79">
        <v>0</v>
      </c>
      <c r="AO51" s="79">
        <v>0</v>
      </c>
      <c r="AP51" s="79">
        <v>0</v>
      </c>
      <c r="AQ51" s="79">
        <v>0</v>
      </c>
      <c r="AR51" s="79">
        <v>0</v>
      </c>
      <c r="AS51" s="79">
        <v>0</v>
      </c>
      <c r="AT51" s="79">
        <v>0</v>
      </c>
      <c r="AU51" s="79">
        <v>0</v>
      </c>
      <c r="AV51" s="79">
        <v>0</v>
      </c>
      <c r="AW51" s="79">
        <v>0</v>
      </c>
      <c r="AX51" s="79">
        <v>0</v>
      </c>
      <c r="AY51" s="79">
        <v>0</v>
      </c>
      <c r="AZ51" s="79">
        <v>0</v>
      </c>
      <c r="BA51" s="79">
        <v>0</v>
      </c>
      <c r="BB51" s="79">
        <v>0</v>
      </c>
      <c r="BC51" s="79">
        <v>0</v>
      </c>
      <c r="BD51" s="79">
        <v>0</v>
      </c>
      <c r="BE51" s="79">
        <v>0</v>
      </c>
      <c r="BF51" s="79">
        <v>0</v>
      </c>
      <c r="BG51" s="79">
        <v>0</v>
      </c>
      <c r="BH51" s="79">
        <v>0</v>
      </c>
      <c r="BI51" s="79">
        <v>0</v>
      </c>
      <c r="BJ51" s="79">
        <v>0</v>
      </c>
      <c r="BK51" s="79">
        <v>0</v>
      </c>
      <c r="BL51" s="79">
        <v>0</v>
      </c>
      <c r="BM51" s="79">
        <v>0</v>
      </c>
    </row>
    <row r="52" spans="1:65" x14ac:dyDescent="0.25">
      <c r="A52" s="60">
        <f t="shared" si="3"/>
        <v>0</v>
      </c>
      <c r="B52" s="58" t="str">
        <f>'TB Data'!B57</f>
        <v>3200</v>
      </c>
      <c r="C52" s="60">
        <f t="shared" si="5"/>
        <v>1</v>
      </c>
      <c r="D52" s="84" t="s">
        <v>232</v>
      </c>
      <c r="E52" s="79">
        <v>0</v>
      </c>
      <c r="F52" s="79">
        <v>0</v>
      </c>
      <c r="G52" s="79">
        <v>0</v>
      </c>
      <c r="H52" s="79">
        <v>0</v>
      </c>
      <c r="I52" s="79">
        <v>0</v>
      </c>
      <c r="J52" s="79">
        <v>0</v>
      </c>
      <c r="K52" s="79">
        <v>0</v>
      </c>
      <c r="L52" s="79">
        <v>0</v>
      </c>
      <c r="M52" s="79">
        <v>0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S52" s="79">
        <v>0</v>
      </c>
      <c r="T52" s="79">
        <v>0</v>
      </c>
      <c r="U52" s="79">
        <v>0</v>
      </c>
      <c r="V52" s="79">
        <v>0</v>
      </c>
      <c r="W52" s="79">
        <v>0</v>
      </c>
      <c r="X52" s="79">
        <v>0</v>
      </c>
      <c r="Y52" s="79">
        <v>0</v>
      </c>
      <c r="Z52" s="79">
        <v>1</v>
      </c>
      <c r="AA52" s="79">
        <v>0</v>
      </c>
      <c r="AB52" s="79">
        <v>0</v>
      </c>
      <c r="AC52" s="79">
        <v>0</v>
      </c>
      <c r="AD52" s="79">
        <v>0</v>
      </c>
      <c r="AE52" s="79">
        <v>0</v>
      </c>
      <c r="AF52" s="79">
        <v>0</v>
      </c>
      <c r="AG52" s="79">
        <v>0</v>
      </c>
      <c r="AH52" s="79">
        <v>0</v>
      </c>
      <c r="AI52" s="79">
        <v>0</v>
      </c>
      <c r="AJ52" s="79">
        <v>0</v>
      </c>
      <c r="AK52" s="79">
        <v>0</v>
      </c>
      <c r="AL52" s="79">
        <v>0</v>
      </c>
      <c r="AM52" s="79">
        <v>0</v>
      </c>
      <c r="AN52" s="79">
        <v>0</v>
      </c>
      <c r="AO52" s="79">
        <v>0</v>
      </c>
      <c r="AP52" s="79">
        <v>0</v>
      </c>
      <c r="AQ52" s="79">
        <v>0</v>
      </c>
      <c r="AR52" s="79">
        <v>0</v>
      </c>
      <c r="AS52" s="79">
        <v>0</v>
      </c>
      <c r="AT52" s="79">
        <v>0</v>
      </c>
      <c r="AU52" s="79">
        <v>0</v>
      </c>
      <c r="AV52" s="79">
        <v>0</v>
      </c>
      <c r="AW52" s="79">
        <v>0</v>
      </c>
      <c r="AX52" s="79">
        <v>0</v>
      </c>
      <c r="AY52" s="79">
        <v>0</v>
      </c>
      <c r="AZ52" s="79">
        <v>0</v>
      </c>
      <c r="BA52" s="79">
        <v>0</v>
      </c>
      <c r="BB52" s="79">
        <v>0</v>
      </c>
      <c r="BC52" s="79">
        <v>0</v>
      </c>
      <c r="BD52" s="79">
        <v>0</v>
      </c>
      <c r="BE52" s="79">
        <v>0</v>
      </c>
      <c r="BF52" s="79">
        <v>0</v>
      </c>
      <c r="BG52" s="79">
        <v>0</v>
      </c>
      <c r="BH52" s="79">
        <v>0</v>
      </c>
      <c r="BI52" s="79">
        <v>0</v>
      </c>
      <c r="BJ52" s="79">
        <v>0</v>
      </c>
      <c r="BK52" s="79">
        <v>0</v>
      </c>
      <c r="BL52" s="79">
        <v>0</v>
      </c>
      <c r="BM52" s="79">
        <v>0</v>
      </c>
    </row>
    <row r="53" spans="1:65" x14ac:dyDescent="0.25">
      <c r="A53" s="60">
        <f t="shared" si="3"/>
        <v>0</v>
      </c>
      <c r="B53" s="58" t="str">
        <f>'TB Data'!B58</f>
        <v>3210</v>
      </c>
      <c r="C53" s="60">
        <f t="shared" si="5"/>
        <v>1</v>
      </c>
      <c r="D53" s="84" t="s">
        <v>286</v>
      </c>
      <c r="E53" s="79">
        <v>0</v>
      </c>
      <c r="F53" s="79">
        <v>0</v>
      </c>
      <c r="G53" s="79">
        <v>0</v>
      </c>
      <c r="H53" s="79">
        <v>0</v>
      </c>
      <c r="I53" s="79">
        <v>0</v>
      </c>
      <c r="J53" s="79">
        <v>0</v>
      </c>
      <c r="K53" s="79">
        <v>0</v>
      </c>
      <c r="L53" s="79">
        <v>0</v>
      </c>
      <c r="M53" s="79">
        <v>0</v>
      </c>
      <c r="N53" s="79">
        <v>0</v>
      </c>
      <c r="O53" s="79">
        <v>0</v>
      </c>
      <c r="P53" s="79">
        <v>0</v>
      </c>
      <c r="Q53" s="79">
        <v>0</v>
      </c>
      <c r="R53" s="79">
        <v>0</v>
      </c>
      <c r="S53" s="79">
        <v>0</v>
      </c>
      <c r="T53" s="79">
        <v>0</v>
      </c>
      <c r="U53" s="79">
        <v>0</v>
      </c>
      <c r="V53" s="79">
        <v>0</v>
      </c>
      <c r="W53" s="79">
        <v>0</v>
      </c>
      <c r="X53" s="79">
        <v>0</v>
      </c>
      <c r="Y53" s="79">
        <v>1</v>
      </c>
      <c r="Z53" s="79">
        <v>0</v>
      </c>
      <c r="AA53" s="79">
        <v>0</v>
      </c>
      <c r="AB53" s="79">
        <v>0</v>
      </c>
      <c r="AC53" s="79">
        <v>0</v>
      </c>
      <c r="AD53" s="79">
        <v>0</v>
      </c>
      <c r="AE53" s="79">
        <v>0</v>
      </c>
      <c r="AF53" s="79">
        <v>0</v>
      </c>
      <c r="AG53" s="79">
        <v>0</v>
      </c>
      <c r="AH53" s="79">
        <v>0</v>
      </c>
      <c r="AI53" s="79">
        <v>0</v>
      </c>
      <c r="AJ53" s="79">
        <v>0</v>
      </c>
      <c r="AK53" s="79">
        <v>0</v>
      </c>
      <c r="AL53" s="79">
        <v>0</v>
      </c>
      <c r="AM53" s="79">
        <v>0</v>
      </c>
      <c r="AN53" s="79">
        <v>0</v>
      </c>
      <c r="AO53" s="79">
        <v>0</v>
      </c>
      <c r="AP53" s="79">
        <v>0</v>
      </c>
      <c r="AQ53" s="79">
        <v>0</v>
      </c>
      <c r="AR53" s="79">
        <v>0</v>
      </c>
      <c r="AS53" s="79">
        <v>0</v>
      </c>
      <c r="AT53" s="79">
        <v>0</v>
      </c>
      <c r="AU53" s="79">
        <v>0</v>
      </c>
      <c r="AV53" s="79">
        <v>0</v>
      </c>
      <c r="AW53" s="79">
        <v>0</v>
      </c>
      <c r="AX53" s="79">
        <v>0</v>
      </c>
      <c r="AY53" s="79">
        <v>0</v>
      </c>
      <c r="AZ53" s="79">
        <v>0</v>
      </c>
      <c r="BA53" s="79">
        <v>0</v>
      </c>
      <c r="BB53" s="79">
        <v>0</v>
      </c>
      <c r="BC53" s="79">
        <v>0</v>
      </c>
      <c r="BD53" s="79">
        <v>0</v>
      </c>
      <c r="BE53" s="79">
        <v>0</v>
      </c>
      <c r="BF53" s="79">
        <v>0</v>
      </c>
      <c r="BG53" s="79">
        <v>0</v>
      </c>
      <c r="BH53" s="79">
        <v>0</v>
      </c>
      <c r="BI53" s="79">
        <v>0</v>
      </c>
      <c r="BJ53" s="79">
        <v>0</v>
      </c>
      <c r="BK53" s="79">
        <v>0</v>
      </c>
      <c r="BL53" s="79">
        <v>0</v>
      </c>
      <c r="BM53" s="79">
        <v>0</v>
      </c>
    </row>
    <row r="54" spans="1:65" x14ac:dyDescent="0.25">
      <c r="A54" s="60">
        <f t="shared" si="3"/>
        <v>0</v>
      </c>
      <c r="B54" s="58" t="str">
        <f>'TB Data'!B59</f>
        <v>4000</v>
      </c>
      <c r="C54" s="60">
        <f t="shared" si="5"/>
        <v>1</v>
      </c>
      <c r="D54" s="84" t="s">
        <v>106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79">
        <v>0</v>
      </c>
      <c r="O54" s="79">
        <v>0</v>
      </c>
      <c r="P54" s="79">
        <v>0</v>
      </c>
      <c r="Q54" s="79">
        <v>0</v>
      </c>
      <c r="R54" s="79">
        <v>0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79">
        <v>1</v>
      </c>
      <c r="AB54" s="79">
        <v>0</v>
      </c>
      <c r="AC54" s="79">
        <v>0</v>
      </c>
      <c r="AD54" s="79">
        <v>0</v>
      </c>
      <c r="AE54" s="79">
        <v>0</v>
      </c>
      <c r="AF54" s="79">
        <v>0</v>
      </c>
      <c r="AG54" s="79">
        <v>0</v>
      </c>
      <c r="AH54" s="79">
        <v>0</v>
      </c>
      <c r="AI54" s="79">
        <v>0</v>
      </c>
      <c r="AJ54" s="79">
        <v>0</v>
      </c>
      <c r="AK54" s="79">
        <v>0</v>
      </c>
      <c r="AL54" s="79">
        <v>0</v>
      </c>
      <c r="AM54" s="79">
        <v>0</v>
      </c>
      <c r="AN54" s="79">
        <v>0</v>
      </c>
      <c r="AO54" s="79">
        <v>0</v>
      </c>
      <c r="AP54" s="79">
        <v>0</v>
      </c>
      <c r="AQ54" s="79">
        <v>0</v>
      </c>
      <c r="AR54" s="79">
        <v>0</v>
      </c>
      <c r="AS54" s="79">
        <v>0</v>
      </c>
      <c r="AT54" s="79">
        <v>0</v>
      </c>
      <c r="AU54" s="79">
        <v>0</v>
      </c>
      <c r="AV54" s="79">
        <v>0</v>
      </c>
      <c r="AW54" s="79">
        <v>0</v>
      </c>
      <c r="AX54" s="79">
        <v>0</v>
      </c>
      <c r="AY54" s="79">
        <v>0</v>
      </c>
      <c r="AZ54" s="79">
        <v>0</v>
      </c>
      <c r="BA54" s="79">
        <v>0</v>
      </c>
      <c r="BB54" s="79">
        <v>0</v>
      </c>
      <c r="BC54" s="79">
        <v>0</v>
      </c>
      <c r="BD54" s="79">
        <v>0</v>
      </c>
      <c r="BE54" s="79">
        <v>0</v>
      </c>
      <c r="BF54" s="79">
        <v>0</v>
      </c>
      <c r="BG54" s="79">
        <v>0</v>
      </c>
      <c r="BH54" s="79">
        <v>0</v>
      </c>
      <c r="BI54" s="79">
        <v>0</v>
      </c>
      <c r="BJ54" s="79">
        <v>0</v>
      </c>
      <c r="BK54" s="79">
        <v>0</v>
      </c>
      <c r="BL54" s="79">
        <v>0</v>
      </c>
      <c r="BM54" s="79">
        <v>0</v>
      </c>
    </row>
    <row r="55" spans="1:65" x14ac:dyDescent="0.25">
      <c r="A55" s="60">
        <f t="shared" si="3"/>
        <v>0</v>
      </c>
      <c r="B55" s="58" t="str">
        <f>'TB Data'!B60</f>
        <v>4009</v>
      </c>
      <c r="C55" s="60">
        <f t="shared" si="5"/>
        <v>1</v>
      </c>
      <c r="D55" s="84" t="s">
        <v>105</v>
      </c>
      <c r="E55" s="79">
        <v>0</v>
      </c>
      <c r="F55" s="79">
        <v>0</v>
      </c>
      <c r="G55" s="79">
        <v>0</v>
      </c>
      <c r="H55" s="79">
        <v>0</v>
      </c>
      <c r="I55" s="79">
        <v>0</v>
      </c>
      <c r="J55" s="79">
        <v>0</v>
      </c>
      <c r="K55" s="79">
        <v>0</v>
      </c>
      <c r="L55" s="79">
        <v>0</v>
      </c>
      <c r="M55" s="79">
        <v>0</v>
      </c>
      <c r="N55" s="79">
        <v>0</v>
      </c>
      <c r="O55" s="79">
        <v>0</v>
      </c>
      <c r="P55" s="79">
        <v>0</v>
      </c>
      <c r="Q55" s="79">
        <v>0</v>
      </c>
      <c r="R55" s="79">
        <v>0</v>
      </c>
      <c r="S55" s="79">
        <v>0</v>
      </c>
      <c r="T55" s="79">
        <v>0</v>
      </c>
      <c r="U55" s="79">
        <v>0</v>
      </c>
      <c r="V55" s="79">
        <v>0</v>
      </c>
      <c r="W55" s="79">
        <v>0</v>
      </c>
      <c r="X55" s="79">
        <v>0</v>
      </c>
      <c r="Y55" s="79">
        <v>0</v>
      </c>
      <c r="Z55" s="79">
        <v>0</v>
      </c>
      <c r="AA55" s="79">
        <v>0</v>
      </c>
      <c r="AB55" s="79">
        <v>1</v>
      </c>
      <c r="AC55" s="79">
        <v>0</v>
      </c>
      <c r="AD55" s="79">
        <v>0</v>
      </c>
      <c r="AE55" s="79">
        <v>0</v>
      </c>
      <c r="AF55" s="79">
        <v>0</v>
      </c>
      <c r="AG55" s="79">
        <v>0</v>
      </c>
      <c r="AH55" s="79">
        <v>0</v>
      </c>
      <c r="AI55" s="79">
        <v>0</v>
      </c>
      <c r="AJ55" s="79">
        <v>0</v>
      </c>
      <c r="AK55" s="79">
        <v>0</v>
      </c>
      <c r="AL55" s="79">
        <v>0</v>
      </c>
      <c r="AM55" s="79">
        <v>0</v>
      </c>
      <c r="AN55" s="79">
        <v>0</v>
      </c>
      <c r="AO55" s="79">
        <v>0</v>
      </c>
      <c r="AP55" s="79">
        <v>0</v>
      </c>
      <c r="AQ55" s="79">
        <v>0</v>
      </c>
      <c r="AR55" s="79">
        <v>0</v>
      </c>
      <c r="AS55" s="79">
        <v>0</v>
      </c>
      <c r="AT55" s="79">
        <v>0</v>
      </c>
      <c r="AU55" s="79">
        <v>0</v>
      </c>
      <c r="AV55" s="79">
        <v>0</v>
      </c>
      <c r="AW55" s="79">
        <v>0</v>
      </c>
      <c r="AX55" s="79">
        <v>0</v>
      </c>
      <c r="AY55" s="79">
        <v>0</v>
      </c>
      <c r="AZ55" s="79">
        <v>0</v>
      </c>
      <c r="BA55" s="79">
        <v>0</v>
      </c>
      <c r="BB55" s="79">
        <v>0</v>
      </c>
      <c r="BC55" s="79">
        <v>0</v>
      </c>
      <c r="BD55" s="79">
        <v>0</v>
      </c>
      <c r="BE55" s="79">
        <v>0</v>
      </c>
      <c r="BF55" s="79">
        <v>0</v>
      </c>
      <c r="BG55" s="79">
        <v>0</v>
      </c>
      <c r="BH55" s="79">
        <v>0</v>
      </c>
      <c r="BI55" s="79">
        <v>0</v>
      </c>
      <c r="BJ55" s="79">
        <v>0</v>
      </c>
      <c r="BK55" s="79">
        <v>0</v>
      </c>
      <c r="BL55" s="79">
        <v>0</v>
      </c>
      <c r="BM55" s="79">
        <v>0</v>
      </c>
    </row>
    <row r="56" spans="1:65" x14ac:dyDescent="0.25">
      <c r="A56" s="60">
        <f t="shared" si="3"/>
        <v>0</v>
      </c>
      <c r="B56" s="58" t="str">
        <f>'TB Data'!B61</f>
        <v>4905</v>
      </c>
      <c r="C56" s="60">
        <f t="shared" si="5"/>
        <v>1</v>
      </c>
      <c r="D56" s="84" t="s">
        <v>104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79">
        <v>0</v>
      </c>
      <c r="N56" s="79">
        <v>0</v>
      </c>
      <c r="O56" s="79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79">
        <v>0</v>
      </c>
      <c r="V56" s="79">
        <v>0</v>
      </c>
      <c r="W56" s="79">
        <v>0</v>
      </c>
      <c r="X56" s="79">
        <v>0</v>
      </c>
      <c r="Y56" s="79">
        <v>0</v>
      </c>
      <c r="Z56" s="79">
        <v>0</v>
      </c>
      <c r="AA56" s="79">
        <v>0</v>
      </c>
      <c r="AB56" s="79">
        <v>0</v>
      </c>
      <c r="AC56" s="79">
        <v>1</v>
      </c>
      <c r="AD56" s="79">
        <v>0</v>
      </c>
      <c r="AE56" s="79">
        <v>0</v>
      </c>
      <c r="AF56" s="79">
        <v>0</v>
      </c>
      <c r="AG56" s="79">
        <v>0</v>
      </c>
      <c r="AH56" s="79">
        <v>0</v>
      </c>
      <c r="AI56" s="79">
        <v>0</v>
      </c>
      <c r="AJ56" s="79">
        <v>0</v>
      </c>
      <c r="AK56" s="79">
        <v>0</v>
      </c>
      <c r="AL56" s="79">
        <v>0</v>
      </c>
      <c r="AM56" s="79">
        <v>0</v>
      </c>
      <c r="AN56" s="79">
        <v>0</v>
      </c>
      <c r="AO56" s="79">
        <v>0</v>
      </c>
      <c r="AP56" s="79">
        <v>0</v>
      </c>
      <c r="AQ56" s="79">
        <v>0</v>
      </c>
      <c r="AR56" s="79">
        <v>0</v>
      </c>
      <c r="AS56" s="79">
        <v>0</v>
      </c>
      <c r="AT56" s="79">
        <v>0</v>
      </c>
      <c r="AU56" s="79">
        <v>0</v>
      </c>
      <c r="AV56" s="79">
        <v>0</v>
      </c>
      <c r="AW56" s="79">
        <v>0</v>
      </c>
      <c r="AX56" s="79">
        <v>0</v>
      </c>
      <c r="AY56" s="79">
        <v>0</v>
      </c>
      <c r="AZ56" s="79">
        <v>0</v>
      </c>
      <c r="BA56" s="79">
        <v>0</v>
      </c>
      <c r="BB56" s="79">
        <v>0</v>
      </c>
      <c r="BC56" s="79">
        <v>0</v>
      </c>
      <c r="BD56" s="79">
        <v>0</v>
      </c>
      <c r="BE56" s="79">
        <v>0</v>
      </c>
      <c r="BF56" s="79">
        <v>0</v>
      </c>
      <c r="BG56" s="79">
        <v>0</v>
      </c>
      <c r="BH56" s="79">
        <v>0</v>
      </c>
      <c r="BI56" s="79">
        <v>0</v>
      </c>
      <c r="BJ56" s="79">
        <v>0</v>
      </c>
      <c r="BK56" s="79">
        <v>0</v>
      </c>
      <c r="BL56" s="79">
        <v>0</v>
      </c>
      <c r="BM56" s="79">
        <v>0</v>
      </c>
    </row>
    <row r="57" spans="1:65" x14ac:dyDescent="0.25">
      <c r="A57" s="60">
        <f t="shared" si="3"/>
        <v>0</v>
      </c>
      <c r="B57" s="58" t="str">
        <f>'TB Data'!B62</f>
        <v>5000</v>
      </c>
      <c r="C57" s="60">
        <f t="shared" si="5"/>
        <v>1</v>
      </c>
      <c r="D57" s="84" t="s">
        <v>131</v>
      </c>
      <c r="E57" s="79">
        <v>0</v>
      </c>
      <c r="F57" s="79">
        <v>0</v>
      </c>
      <c r="G57" s="79">
        <v>0</v>
      </c>
      <c r="H57" s="79">
        <v>0</v>
      </c>
      <c r="I57" s="79">
        <v>0</v>
      </c>
      <c r="J57" s="79">
        <v>0</v>
      </c>
      <c r="K57" s="79">
        <v>0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0</v>
      </c>
      <c r="S57" s="79">
        <v>0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79">
        <v>0</v>
      </c>
      <c r="AD57" s="79">
        <v>1</v>
      </c>
      <c r="AE57" s="79">
        <v>0</v>
      </c>
      <c r="AF57" s="79">
        <v>0</v>
      </c>
      <c r="AG57" s="79">
        <v>0</v>
      </c>
      <c r="AH57" s="79">
        <v>0</v>
      </c>
      <c r="AI57" s="79">
        <v>0</v>
      </c>
      <c r="AJ57" s="79">
        <v>0</v>
      </c>
      <c r="AK57" s="79">
        <v>0</v>
      </c>
      <c r="AL57" s="79">
        <v>0</v>
      </c>
      <c r="AM57" s="79">
        <v>0</v>
      </c>
      <c r="AN57" s="79">
        <v>0</v>
      </c>
      <c r="AO57" s="79">
        <v>0</v>
      </c>
      <c r="AP57" s="79">
        <v>0</v>
      </c>
      <c r="AQ57" s="79">
        <v>0</v>
      </c>
      <c r="AR57" s="79">
        <v>0</v>
      </c>
      <c r="AS57" s="79">
        <v>0</v>
      </c>
      <c r="AT57" s="79">
        <v>0</v>
      </c>
      <c r="AU57" s="79">
        <v>0</v>
      </c>
      <c r="AV57" s="79">
        <v>0</v>
      </c>
      <c r="AW57" s="79">
        <v>0</v>
      </c>
      <c r="AX57" s="79">
        <v>0</v>
      </c>
      <c r="AY57" s="79">
        <v>0</v>
      </c>
      <c r="AZ57" s="79">
        <v>0</v>
      </c>
      <c r="BA57" s="79">
        <v>0</v>
      </c>
      <c r="BB57" s="79">
        <v>0</v>
      </c>
      <c r="BC57" s="79">
        <v>0</v>
      </c>
      <c r="BD57" s="79">
        <v>0</v>
      </c>
      <c r="BE57" s="79">
        <v>0</v>
      </c>
      <c r="BF57" s="79">
        <v>0</v>
      </c>
      <c r="BG57" s="79">
        <v>0</v>
      </c>
      <c r="BH57" s="79">
        <v>0</v>
      </c>
      <c r="BI57" s="79">
        <v>0</v>
      </c>
      <c r="BJ57" s="79">
        <v>0</v>
      </c>
      <c r="BK57" s="79">
        <v>0</v>
      </c>
      <c r="BL57" s="79">
        <v>0</v>
      </c>
      <c r="BM57" s="79">
        <v>0</v>
      </c>
    </row>
    <row r="58" spans="1:65" x14ac:dyDescent="0.25">
      <c r="A58" s="60">
        <f t="shared" si="3"/>
        <v>0</v>
      </c>
      <c r="B58" s="58" t="str">
        <f>'TB Data'!B63</f>
        <v>5001</v>
      </c>
      <c r="C58" s="60">
        <f t="shared" si="5"/>
        <v>1</v>
      </c>
      <c r="D58" s="84" t="s">
        <v>233</v>
      </c>
      <c r="E58" s="79">
        <v>0</v>
      </c>
      <c r="F58" s="79">
        <v>0</v>
      </c>
      <c r="G58" s="79">
        <v>0</v>
      </c>
      <c r="H58" s="79">
        <v>0</v>
      </c>
      <c r="I58" s="79">
        <v>0</v>
      </c>
      <c r="J58" s="79">
        <v>0</v>
      </c>
      <c r="K58" s="79">
        <v>0</v>
      </c>
      <c r="L58" s="79">
        <v>0</v>
      </c>
      <c r="M58" s="79">
        <v>0</v>
      </c>
      <c r="N58" s="79">
        <v>0</v>
      </c>
      <c r="O58" s="79">
        <v>0</v>
      </c>
      <c r="P58" s="79">
        <v>0</v>
      </c>
      <c r="Q58" s="79">
        <v>0</v>
      </c>
      <c r="R58" s="79">
        <v>0</v>
      </c>
      <c r="S58" s="79">
        <v>0</v>
      </c>
      <c r="T58" s="79">
        <v>0</v>
      </c>
      <c r="U58" s="79">
        <v>0</v>
      </c>
      <c r="V58" s="79">
        <v>0</v>
      </c>
      <c r="W58" s="79">
        <v>0</v>
      </c>
      <c r="X58" s="79">
        <v>0</v>
      </c>
      <c r="Y58" s="79">
        <v>0</v>
      </c>
      <c r="Z58" s="79">
        <v>0</v>
      </c>
      <c r="AA58" s="79">
        <v>0</v>
      </c>
      <c r="AB58" s="79">
        <v>0</v>
      </c>
      <c r="AC58" s="79">
        <v>0</v>
      </c>
      <c r="AD58" s="79">
        <v>0</v>
      </c>
      <c r="AE58" s="79">
        <v>1</v>
      </c>
      <c r="AF58" s="79">
        <v>0</v>
      </c>
      <c r="AG58" s="79">
        <v>0</v>
      </c>
      <c r="AH58" s="79">
        <v>0</v>
      </c>
      <c r="AI58" s="79">
        <v>0</v>
      </c>
      <c r="AJ58" s="79">
        <v>0</v>
      </c>
      <c r="AK58" s="79">
        <v>0</v>
      </c>
      <c r="AL58" s="79">
        <v>0</v>
      </c>
      <c r="AM58" s="79">
        <v>0</v>
      </c>
      <c r="AN58" s="79">
        <v>0</v>
      </c>
      <c r="AO58" s="79">
        <v>0</v>
      </c>
      <c r="AP58" s="79">
        <v>0</v>
      </c>
      <c r="AQ58" s="79">
        <v>0</v>
      </c>
      <c r="AR58" s="79">
        <v>0</v>
      </c>
      <c r="AS58" s="79">
        <v>0</v>
      </c>
      <c r="AT58" s="79">
        <v>0</v>
      </c>
      <c r="AU58" s="79">
        <v>0</v>
      </c>
      <c r="AV58" s="79">
        <v>0</v>
      </c>
      <c r="AW58" s="79">
        <v>0</v>
      </c>
      <c r="AX58" s="79">
        <v>0</v>
      </c>
      <c r="AY58" s="79">
        <v>0</v>
      </c>
      <c r="AZ58" s="79">
        <v>0</v>
      </c>
      <c r="BA58" s="79">
        <v>0</v>
      </c>
      <c r="BB58" s="79">
        <v>0</v>
      </c>
      <c r="BC58" s="79">
        <v>0</v>
      </c>
      <c r="BD58" s="79">
        <v>0</v>
      </c>
      <c r="BE58" s="79">
        <v>0</v>
      </c>
      <c r="BF58" s="79">
        <v>0</v>
      </c>
      <c r="BG58" s="79">
        <v>0</v>
      </c>
      <c r="BH58" s="79">
        <v>0</v>
      </c>
      <c r="BI58" s="79">
        <v>0</v>
      </c>
      <c r="BJ58" s="79">
        <v>0</v>
      </c>
      <c r="BK58" s="79">
        <v>0</v>
      </c>
      <c r="BL58" s="79">
        <v>0</v>
      </c>
      <c r="BM58" s="79">
        <v>0</v>
      </c>
    </row>
    <row r="59" spans="1:65" x14ac:dyDescent="0.25">
      <c r="A59" s="60">
        <f t="shared" si="3"/>
        <v>0</v>
      </c>
      <c r="B59" s="58" t="str">
        <f>'TB Data'!B64</f>
        <v>6100</v>
      </c>
      <c r="C59" s="60">
        <f t="shared" si="5"/>
        <v>1</v>
      </c>
      <c r="D59" s="84" t="s">
        <v>103</v>
      </c>
      <c r="E59" s="79">
        <v>0</v>
      </c>
      <c r="F59" s="79">
        <v>0</v>
      </c>
      <c r="G59" s="79">
        <v>0</v>
      </c>
      <c r="H59" s="79">
        <v>0</v>
      </c>
      <c r="I59" s="79">
        <v>0</v>
      </c>
      <c r="J59" s="79">
        <v>0</v>
      </c>
      <c r="K59" s="79">
        <v>0</v>
      </c>
      <c r="L59" s="79">
        <v>0</v>
      </c>
      <c r="M59" s="79">
        <v>0</v>
      </c>
      <c r="N59" s="79">
        <v>0</v>
      </c>
      <c r="O59" s="79">
        <v>0</v>
      </c>
      <c r="P59" s="79">
        <v>0</v>
      </c>
      <c r="Q59" s="79">
        <v>0</v>
      </c>
      <c r="R59" s="79">
        <v>0</v>
      </c>
      <c r="S59" s="79">
        <v>0</v>
      </c>
      <c r="T59" s="79">
        <v>0</v>
      </c>
      <c r="U59" s="79">
        <v>0</v>
      </c>
      <c r="V59" s="79">
        <v>0</v>
      </c>
      <c r="W59" s="79">
        <v>0</v>
      </c>
      <c r="X59" s="79">
        <v>0</v>
      </c>
      <c r="Y59" s="79">
        <v>0</v>
      </c>
      <c r="Z59" s="79">
        <v>0</v>
      </c>
      <c r="AA59" s="79">
        <v>0</v>
      </c>
      <c r="AB59" s="79">
        <v>0</v>
      </c>
      <c r="AC59" s="79">
        <v>0</v>
      </c>
      <c r="AD59" s="79">
        <v>0</v>
      </c>
      <c r="AE59" s="79">
        <v>0</v>
      </c>
      <c r="AF59" s="79">
        <v>1</v>
      </c>
      <c r="AG59" s="79">
        <v>0</v>
      </c>
      <c r="AH59" s="79">
        <v>0</v>
      </c>
      <c r="AI59" s="79">
        <v>0</v>
      </c>
      <c r="AJ59" s="79">
        <v>0</v>
      </c>
      <c r="AK59" s="79">
        <v>0</v>
      </c>
      <c r="AL59" s="79">
        <v>0</v>
      </c>
      <c r="AM59" s="79">
        <v>0</v>
      </c>
      <c r="AN59" s="79">
        <v>0</v>
      </c>
      <c r="AO59" s="79">
        <v>0</v>
      </c>
      <c r="AP59" s="79">
        <v>0</v>
      </c>
      <c r="AQ59" s="79">
        <v>0</v>
      </c>
      <c r="AR59" s="79">
        <v>0</v>
      </c>
      <c r="AS59" s="79">
        <v>0</v>
      </c>
      <c r="AT59" s="79">
        <v>0</v>
      </c>
      <c r="AU59" s="79">
        <v>0</v>
      </c>
      <c r="AV59" s="79">
        <v>0</v>
      </c>
      <c r="AW59" s="79">
        <v>0</v>
      </c>
      <c r="AX59" s="79">
        <v>0</v>
      </c>
      <c r="AY59" s="79">
        <v>0</v>
      </c>
      <c r="AZ59" s="79">
        <v>0</v>
      </c>
      <c r="BA59" s="79">
        <v>0</v>
      </c>
      <c r="BB59" s="79">
        <v>0</v>
      </c>
      <c r="BC59" s="79">
        <v>0</v>
      </c>
      <c r="BD59" s="79">
        <v>0</v>
      </c>
      <c r="BE59" s="79">
        <v>0</v>
      </c>
      <c r="BF59" s="79">
        <v>0</v>
      </c>
      <c r="BG59" s="79">
        <v>0</v>
      </c>
      <c r="BH59" s="79">
        <v>0</v>
      </c>
      <c r="BI59" s="79">
        <v>0</v>
      </c>
      <c r="BJ59" s="79">
        <v>0</v>
      </c>
      <c r="BK59" s="79">
        <v>0</v>
      </c>
      <c r="BL59" s="79">
        <v>0</v>
      </c>
      <c r="BM59" s="79">
        <v>0</v>
      </c>
    </row>
    <row r="60" spans="1:65" s="79" customFormat="1" x14ac:dyDescent="0.25">
      <c r="A60" s="60">
        <f t="shared" si="3"/>
        <v>0</v>
      </c>
      <c r="B60" s="58" t="str">
        <f>'TB Data'!B65</f>
        <v>6200</v>
      </c>
      <c r="C60" s="60">
        <f t="shared" si="5"/>
        <v>1</v>
      </c>
      <c r="D60" s="84" t="s">
        <v>102</v>
      </c>
      <c r="E60" s="79">
        <v>0</v>
      </c>
      <c r="F60" s="79">
        <v>0</v>
      </c>
      <c r="G60" s="79">
        <v>0</v>
      </c>
      <c r="H60" s="79">
        <v>0</v>
      </c>
      <c r="I60" s="79">
        <v>0</v>
      </c>
      <c r="J60" s="79">
        <v>0</v>
      </c>
      <c r="K60" s="79">
        <v>0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0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79">
        <v>1</v>
      </c>
      <c r="AH60" s="79">
        <v>0</v>
      </c>
      <c r="AI60" s="79">
        <v>0</v>
      </c>
      <c r="AJ60" s="79">
        <v>0</v>
      </c>
      <c r="AK60" s="79">
        <v>0</v>
      </c>
      <c r="AL60" s="79">
        <v>0</v>
      </c>
      <c r="AM60" s="79">
        <v>0</v>
      </c>
      <c r="AN60" s="79">
        <v>0</v>
      </c>
      <c r="AO60" s="79">
        <v>0</v>
      </c>
      <c r="AP60" s="79">
        <v>0</v>
      </c>
      <c r="AQ60" s="79">
        <v>0</v>
      </c>
      <c r="AR60" s="79">
        <v>0</v>
      </c>
      <c r="AS60" s="79">
        <v>0</v>
      </c>
      <c r="AT60" s="79">
        <v>0</v>
      </c>
      <c r="AU60" s="79">
        <v>0</v>
      </c>
      <c r="AV60" s="79">
        <v>0</v>
      </c>
      <c r="AW60" s="79">
        <v>0</v>
      </c>
      <c r="AX60" s="79">
        <v>0</v>
      </c>
      <c r="AY60" s="79">
        <v>0</v>
      </c>
      <c r="AZ60" s="79">
        <v>0</v>
      </c>
      <c r="BA60" s="79">
        <v>0</v>
      </c>
      <c r="BB60" s="79">
        <v>0</v>
      </c>
      <c r="BC60" s="79">
        <v>0</v>
      </c>
      <c r="BD60" s="79">
        <v>0</v>
      </c>
      <c r="BE60" s="79">
        <v>0</v>
      </c>
      <c r="BF60" s="79">
        <v>0</v>
      </c>
      <c r="BG60" s="79">
        <v>0</v>
      </c>
      <c r="BH60" s="79">
        <v>0</v>
      </c>
      <c r="BI60" s="79">
        <v>0</v>
      </c>
      <c r="BJ60" s="79">
        <v>0</v>
      </c>
      <c r="BK60" s="79">
        <v>0</v>
      </c>
      <c r="BL60" s="79">
        <v>0</v>
      </c>
      <c r="BM60" s="79">
        <v>0</v>
      </c>
    </row>
    <row r="61" spans="1:65" s="79" customFormat="1" x14ac:dyDescent="0.25">
      <c r="A61" s="60">
        <f t="shared" si="3"/>
        <v>0</v>
      </c>
      <c r="B61" s="58" t="str">
        <f>'TB Data'!B66</f>
        <v>6201</v>
      </c>
      <c r="C61" s="60">
        <f t="shared" si="5"/>
        <v>1</v>
      </c>
      <c r="D61" s="84" t="s">
        <v>130</v>
      </c>
      <c r="E61" s="79">
        <v>0</v>
      </c>
      <c r="F61" s="79">
        <v>0</v>
      </c>
      <c r="G61" s="79">
        <v>0</v>
      </c>
      <c r="H61" s="79">
        <v>0</v>
      </c>
      <c r="I61" s="79">
        <v>0</v>
      </c>
      <c r="J61" s="79">
        <v>0</v>
      </c>
      <c r="K61" s="79">
        <v>0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0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79">
        <v>0</v>
      </c>
      <c r="AC61" s="79">
        <v>0</v>
      </c>
      <c r="AD61" s="79">
        <v>0</v>
      </c>
      <c r="AE61" s="79">
        <v>0</v>
      </c>
      <c r="AF61" s="79">
        <v>0</v>
      </c>
      <c r="AG61" s="79">
        <v>0</v>
      </c>
      <c r="AH61" s="79">
        <v>1</v>
      </c>
      <c r="AI61" s="79">
        <v>0</v>
      </c>
      <c r="AJ61" s="79">
        <v>0</v>
      </c>
      <c r="AK61" s="79">
        <v>0</v>
      </c>
      <c r="AL61" s="79">
        <v>0</v>
      </c>
      <c r="AM61" s="79">
        <v>0</v>
      </c>
      <c r="AN61" s="79">
        <v>0</v>
      </c>
      <c r="AO61" s="79">
        <v>0</v>
      </c>
      <c r="AP61" s="79">
        <v>0</v>
      </c>
      <c r="AQ61" s="79">
        <v>0</v>
      </c>
      <c r="AR61" s="79">
        <v>0</v>
      </c>
      <c r="AS61" s="79">
        <v>0</v>
      </c>
      <c r="AT61" s="79">
        <v>0</v>
      </c>
      <c r="AU61" s="79">
        <v>0</v>
      </c>
      <c r="AV61" s="79">
        <v>0</v>
      </c>
      <c r="AW61" s="79">
        <v>0</v>
      </c>
      <c r="AX61" s="79">
        <v>0</v>
      </c>
      <c r="AY61" s="79">
        <v>0</v>
      </c>
      <c r="AZ61" s="79">
        <v>0</v>
      </c>
      <c r="BA61" s="79">
        <v>0</v>
      </c>
      <c r="BB61" s="79">
        <v>0</v>
      </c>
      <c r="BC61" s="79">
        <v>0</v>
      </c>
      <c r="BD61" s="79">
        <v>0</v>
      </c>
      <c r="BE61" s="79">
        <v>0</v>
      </c>
      <c r="BF61" s="79">
        <v>0</v>
      </c>
      <c r="BG61" s="79">
        <v>0</v>
      </c>
      <c r="BH61" s="79">
        <v>0</v>
      </c>
      <c r="BI61" s="79">
        <v>0</v>
      </c>
      <c r="BJ61" s="79">
        <v>0</v>
      </c>
      <c r="BK61" s="79">
        <v>0</v>
      </c>
      <c r="BL61" s="79">
        <v>0</v>
      </c>
      <c r="BM61" s="79">
        <v>0</v>
      </c>
    </row>
    <row r="62" spans="1:65" x14ac:dyDescent="0.25">
      <c r="A62" s="60">
        <f t="shared" si="3"/>
        <v>0</v>
      </c>
      <c r="B62" s="58" t="str">
        <f>'TB Data'!B67</f>
        <v>7000</v>
      </c>
      <c r="C62" s="60">
        <f t="shared" si="5"/>
        <v>1</v>
      </c>
      <c r="D62" s="84" t="s">
        <v>101</v>
      </c>
      <c r="E62" s="79">
        <v>0</v>
      </c>
      <c r="F62" s="79">
        <v>0</v>
      </c>
      <c r="G62" s="79">
        <v>0</v>
      </c>
      <c r="H62" s="79">
        <v>0</v>
      </c>
      <c r="I62" s="79">
        <v>0</v>
      </c>
      <c r="J62" s="79">
        <v>0</v>
      </c>
      <c r="K62" s="79">
        <v>0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0</v>
      </c>
      <c r="T62" s="79">
        <v>0</v>
      </c>
      <c r="U62" s="79">
        <v>0</v>
      </c>
      <c r="V62" s="79">
        <v>0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79">
        <v>0</v>
      </c>
      <c r="AH62" s="79">
        <v>0</v>
      </c>
      <c r="AI62" s="79">
        <v>1</v>
      </c>
      <c r="AJ62" s="79">
        <v>0</v>
      </c>
      <c r="AK62" s="79">
        <v>0</v>
      </c>
      <c r="AL62" s="79">
        <v>0</v>
      </c>
      <c r="AM62" s="79">
        <v>0</v>
      </c>
      <c r="AN62" s="79">
        <v>0</v>
      </c>
      <c r="AO62" s="79">
        <v>0</v>
      </c>
      <c r="AP62" s="79">
        <v>0</v>
      </c>
      <c r="AQ62" s="79">
        <v>0</v>
      </c>
      <c r="AR62" s="79">
        <v>0</v>
      </c>
      <c r="AS62" s="79">
        <v>0</v>
      </c>
      <c r="AT62" s="79">
        <v>0</v>
      </c>
      <c r="AU62" s="79">
        <v>0</v>
      </c>
      <c r="AV62" s="79">
        <v>0</v>
      </c>
      <c r="AW62" s="79">
        <v>0</v>
      </c>
      <c r="AX62" s="79">
        <v>0</v>
      </c>
      <c r="AY62" s="79">
        <v>0</v>
      </c>
      <c r="AZ62" s="79">
        <v>0</v>
      </c>
      <c r="BA62" s="79">
        <v>0</v>
      </c>
      <c r="BB62" s="79">
        <v>0</v>
      </c>
      <c r="BC62" s="79">
        <v>0</v>
      </c>
      <c r="BD62" s="79">
        <v>0</v>
      </c>
      <c r="BE62" s="79">
        <v>0</v>
      </c>
      <c r="BF62" s="79">
        <v>0</v>
      </c>
      <c r="BG62" s="79">
        <v>0</v>
      </c>
      <c r="BH62" s="79">
        <v>0</v>
      </c>
      <c r="BI62" s="79">
        <v>0</v>
      </c>
      <c r="BJ62" s="79">
        <v>0</v>
      </c>
      <c r="BK62" s="79">
        <v>0</v>
      </c>
      <c r="BL62" s="79">
        <v>0</v>
      </c>
      <c r="BM62" s="79">
        <v>0</v>
      </c>
    </row>
    <row r="63" spans="1:65" x14ac:dyDescent="0.25">
      <c r="A63" s="60">
        <f t="shared" si="3"/>
        <v>0</v>
      </c>
      <c r="B63" s="58" t="str">
        <f>'TB Data'!B68</f>
        <v>7006</v>
      </c>
      <c r="C63" s="60">
        <f t="shared" si="5"/>
        <v>1</v>
      </c>
      <c r="D63" s="84" t="s">
        <v>287</v>
      </c>
      <c r="E63" s="79">
        <v>0</v>
      </c>
      <c r="F63" s="79">
        <v>0</v>
      </c>
      <c r="G63" s="79">
        <v>0</v>
      </c>
      <c r="H63" s="79">
        <v>0</v>
      </c>
      <c r="I63" s="79">
        <v>0</v>
      </c>
      <c r="J63" s="79">
        <v>0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0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79">
        <v>0</v>
      </c>
      <c r="AG63" s="79">
        <v>0</v>
      </c>
      <c r="AH63" s="79">
        <v>0</v>
      </c>
      <c r="AI63" s="79">
        <v>0</v>
      </c>
      <c r="AJ63" s="79">
        <v>1</v>
      </c>
      <c r="AK63" s="79">
        <v>0</v>
      </c>
      <c r="AL63" s="79">
        <v>0</v>
      </c>
      <c r="AM63" s="79">
        <v>0</v>
      </c>
      <c r="AN63" s="79">
        <v>0</v>
      </c>
      <c r="AO63" s="79">
        <v>0</v>
      </c>
      <c r="AP63" s="79">
        <v>0</v>
      </c>
      <c r="AQ63" s="79">
        <v>0</v>
      </c>
      <c r="AR63" s="79">
        <v>0</v>
      </c>
      <c r="AS63" s="79">
        <v>0</v>
      </c>
      <c r="AT63" s="79">
        <v>0</v>
      </c>
      <c r="AU63" s="79">
        <v>0</v>
      </c>
      <c r="AV63" s="79">
        <v>0</v>
      </c>
      <c r="AW63" s="79">
        <v>0</v>
      </c>
      <c r="AX63" s="79">
        <v>0</v>
      </c>
      <c r="AY63" s="79">
        <v>0</v>
      </c>
      <c r="AZ63" s="79">
        <v>0</v>
      </c>
      <c r="BA63" s="79">
        <v>0</v>
      </c>
      <c r="BB63" s="79">
        <v>0</v>
      </c>
      <c r="BC63" s="79">
        <v>0</v>
      </c>
      <c r="BD63" s="79">
        <v>0</v>
      </c>
      <c r="BE63" s="79">
        <v>0</v>
      </c>
      <c r="BF63" s="79">
        <v>0</v>
      </c>
      <c r="BG63" s="79">
        <v>0</v>
      </c>
      <c r="BH63" s="79">
        <v>0</v>
      </c>
      <c r="BI63" s="79">
        <v>0</v>
      </c>
      <c r="BJ63" s="79">
        <v>0</v>
      </c>
      <c r="BK63" s="79">
        <v>0</v>
      </c>
      <c r="BL63" s="79">
        <v>0</v>
      </c>
      <c r="BM63" s="79">
        <v>0</v>
      </c>
    </row>
    <row r="64" spans="1:65" x14ac:dyDescent="0.25">
      <c r="A64" s="60">
        <f t="shared" si="3"/>
        <v>0</v>
      </c>
      <c r="B64" s="58" t="str">
        <f>'TB Data'!B69</f>
        <v>7020</v>
      </c>
      <c r="C64" s="60">
        <f t="shared" si="5"/>
        <v>1</v>
      </c>
      <c r="D64" s="84" t="s">
        <v>288</v>
      </c>
      <c r="E64" s="79">
        <v>0</v>
      </c>
      <c r="F64" s="79">
        <v>0</v>
      </c>
      <c r="G64" s="79">
        <v>0</v>
      </c>
      <c r="H64" s="79">
        <v>0</v>
      </c>
      <c r="I64" s="79">
        <v>0</v>
      </c>
      <c r="J64" s="79">
        <v>0</v>
      </c>
      <c r="K64" s="79">
        <v>0</v>
      </c>
      <c r="L64" s="79">
        <v>0</v>
      </c>
      <c r="M64" s="79">
        <v>0</v>
      </c>
      <c r="N64" s="79">
        <v>0</v>
      </c>
      <c r="O64" s="79">
        <v>0</v>
      </c>
      <c r="P64" s="79">
        <v>0</v>
      </c>
      <c r="Q64" s="79">
        <v>0</v>
      </c>
      <c r="R64" s="79">
        <v>0</v>
      </c>
      <c r="S64" s="79">
        <v>0</v>
      </c>
      <c r="T64" s="79">
        <v>0</v>
      </c>
      <c r="U64" s="79">
        <v>0</v>
      </c>
      <c r="V64" s="79">
        <v>0</v>
      </c>
      <c r="W64" s="79">
        <v>0</v>
      </c>
      <c r="X64" s="79">
        <v>0</v>
      </c>
      <c r="Y64" s="79">
        <v>0</v>
      </c>
      <c r="Z64" s="79">
        <v>0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79">
        <v>0</v>
      </c>
      <c r="AH64" s="79">
        <v>0</v>
      </c>
      <c r="AI64" s="79">
        <v>0</v>
      </c>
      <c r="AJ64" s="79">
        <v>0</v>
      </c>
      <c r="AK64" s="79">
        <v>1</v>
      </c>
      <c r="AL64" s="79">
        <v>0</v>
      </c>
      <c r="AM64" s="79">
        <v>0</v>
      </c>
      <c r="AN64" s="79">
        <v>0</v>
      </c>
      <c r="AO64" s="79">
        <v>0</v>
      </c>
      <c r="AP64" s="79">
        <v>0</v>
      </c>
      <c r="AQ64" s="79">
        <v>0</v>
      </c>
      <c r="AR64" s="79">
        <v>0</v>
      </c>
      <c r="AS64" s="79">
        <v>0</v>
      </c>
      <c r="AT64" s="79">
        <v>0</v>
      </c>
      <c r="AU64" s="79">
        <v>0</v>
      </c>
      <c r="AV64" s="79">
        <v>0</v>
      </c>
      <c r="AW64" s="79">
        <v>0</v>
      </c>
      <c r="AX64" s="79">
        <v>0</v>
      </c>
      <c r="AY64" s="79">
        <v>0</v>
      </c>
      <c r="AZ64" s="79">
        <v>0</v>
      </c>
      <c r="BA64" s="79">
        <v>0</v>
      </c>
      <c r="BB64" s="79">
        <v>0</v>
      </c>
      <c r="BC64" s="79">
        <v>0</v>
      </c>
      <c r="BD64" s="79">
        <v>0</v>
      </c>
      <c r="BE64" s="79">
        <v>0</v>
      </c>
      <c r="BF64" s="79">
        <v>0</v>
      </c>
      <c r="BG64" s="79">
        <v>0</v>
      </c>
      <c r="BH64" s="79">
        <v>0</v>
      </c>
      <c r="BI64" s="79">
        <v>0</v>
      </c>
      <c r="BJ64" s="79">
        <v>0</v>
      </c>
      <c r="BK64" s="79">
        <v>0</v>
      </c>
      <c r="BL64" s="79">
        <v>0</v>
      </c>
      <c r="BM64" s="79">
        <v>0</v>
      </c>
    </row>
    <row r="65" spans="1:65" x14ac:dyDescent="0.25">
      <c r="A65" s="60">
        <f t="shared" si="3"/>
        <v>0</v>
      </c>
      <c r="B65" s="58" t="str">
        <f>'TB Data'!B70</f>
        <v>7100</v>
      </c>
      <c r="C65" s="60">
        <f t="shared" si="5"/>
        <v>1</v>
      </c>
      <c r="D65" s="84" t="s">
        <v>234</v>
      </c>
      <c r="E65" s="79">
        <v>0</v>
      </c>
      <c r="F65" s="79">
        <v>0</v>
      </c>
      <c r="G65" s="79">
        <v>0</v>
      </c>
      <c r="H65" s="79">
        <v>0</v>
      </c>
      <c r="I65" s="79">
        <v>0</v>
      </c>
      <c r="J65" s="79">
        <v>0</v>
      </c>
      <c r="K65" s="79">
        <v>0</v>
      </c>
      <c r="L65" s="79">
        <v>0</v>
      </c>
      <c r="M65" s="79">
        <v>0</v>
      </c>
      <c r="N65" s="79">
        <v>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T65" s="79">
        <v>0</v>
      </c>
      <c r="U65" s="79">
        <v>0</v>
      </c>
      <c r="V65" s="79">
        <v>0</v>
      </c>
      <c r="W65" s="79">
        <v>0</v>
      </c>
      <c r="X65" s="79">
        <v>0</v>
      </c>
      <c r="Y65" s="79">
        <v>0</v>
      </c>
      <c r="Z65" s="79">
        <v>0</v>
      </c>
      <c r="AA65" s="79">
        <v>0</v>
      </c>
      <c r="AB65" s="79">
        <v>0</v>
      </c>
      <c r="AC65" s="79">
        <v>0</v>
      </c>
      <c r="AD65" s="79">
        <v>0</v>
      </c>
      <c r="AE65" s="79">
        <v>0</v>
      </c>
      <c r="AF65" s="79">
        <v>0</v>
      </c>
      <c r="AG65" s="79">
        <v>0</v>
      </c>
      <c r="AH65" s="79">
        <v>0</v>
      </c>
      <c r="AI65" s="79">
        <v>0</v>
      </c>
      <c r="AJ65" s="79">
        <v>0</v>
      </c>
      <c r="AK65" s="79">
        <v>0</v>
      </c>
      <c r="AL65" s="79">
        <v>1</v>
      </c>
      <c r="AM65" s="79">
        <v>0</v>
      </c>
      <c r="AN65" s="79">
        <v>0</v>
      </c>
      <c r="AO65" s="79">
        <v>0</v>
      </c>
      <c r="AP65" s="79">
        <v>0</v>
      </c>
      <c r="AQ65" s="79">
        <v>0</v>
      </c>
      <c r="AR65" s="79">
        <v>0</v>
      </c>
      <c r="AS65" s="79">
        <v>0</v>
      </c>
      <c r="AT65" s="79">
        <v>0</v>
      </c>
      <c r="AU65" s="79">
        <v>0</v>
      </c>
      <c r="AV65" s="79">
        <v>0</v>
      </c>
      <c r="AW65" s="79">
        <v>0</v>
      </c>
      <c r="AX65" s="79">
        <v>0</v>
      </c>
      <c r="AY65" s="79">
        <v>0</v>
      </c>
      <c r="AZ65" s="79">
        <v>0</v>
      </c>
      <c r="BA65" s="79">
        <v>0</v>
      </c>
      <c r="BB65" s="79">
        <v>0</v>
      </c>
      <c r="BC65" s="79">
        <v>0</v>
      </c>
      <c r="BD65" s="79">
        <v>0</v>
      </c>
      <c r="BE65" s="79">
        <v>0</v>
      </c>
      <c r="BF65" s="79">
        <v>0</v>
      </c>
      <c r="BG65" s="79">
        <v>0</v>
      </c>
      <c r="BH65" s="79">
        <v>0</v>
      </c>
      <c r="BI65" s="79">
        <v>0</v>
      </c>
      <c r="BJ65" s="79">
        <v>0</v>
      </c>
      <c r="BK65" s="79">
        <v>0</v>
      </c>
      <c r="BL65" s="79">
        <v>0</v>
      </c>
      <c r="BM65" s="79">
        <v>0</v>
      </c>
    </row>
    <row r="66" spans="1:65" x14ac:dyDescent="0.25">
      <c r="A66" s="60">
        <f t="shared" si="3"/>
        <v>0</v>
      </c>
      <c r="B66" s="58" t="str">
        <f>'TB Data'!B71</f>
        <v>7102</v>
      </c>
      <c r="C66" s="60">
        <f t="shared" si="5"/>
        <v>1</v>
      </c>
      <c r="D66" s="84" t="s">
        <v>129</v>
      </c>
      <c r="E66" s="79">
        <v>0</v>
      </c>
      <c r="F66" s="79">
        <v>0</v>
      </c>
      <c r="G66" s="79">
        <v>0</v>
      </c>
      <c r="H66" s="79">
        <v>0</v>
      </c>
      <c r="I66" s="79">
        <v>0</v>
      </c>
      <c r="J66" s="79">
        <v>0</v>
      </c>
      <c r="K66" s="79">
        <v>0</v>
      </c>
      <c r="L66" s="79">
        <v>0</v>
      </c>
      <c r="M66" s="79">
        <v>0</v>
      </c>
      <c r="N66" s="79">
        <v>0</v>
      </c>
      <c r="O66" s="79">
        <v>0</v>
      </c>
      <c r="P66" s="79">
        <v>0</v>
      </c>
      <c r="Q66" s="79">
        <v>0</v>
      </c>
      <c r="R66" s="79">
        <v>0</v>
      </c>
      <c r="S66" s="79">
        <v>0</v>
      </c>
      <c r="T66" s="79">
        <v>0</v>
      </c>
      <c r="U66" s="79">
        <v>0</v>
      </c>
      <c r="V66" s="79">
        <v>0</v>
      </c>
      <c r="W66" s="79">
        <v>0</v>
      </c>
      <c r="X66" s="79">
        <v>0</v>
      </c>
      <c r="Y66" s="79">
        <v>0</v>
      </c>
      <c r="Z66" s="79">
        <v>0</v>
      </c>
      <c r="AA66" s="79">
        <v>0</v>
      </c>
      <c r="AB66" s="79">
        <v>0</v>
      </c>
      <c r="AC66" s="79">
        <v>0</v>
      </c>
      <c r="AD66" s="79">
        <v>0</v>
      </c>
      <c r="AE66" s="79">
        <v>0</v>
      </c>
      <c r="AF66" s="79">
        <v>0</v>
      </c>
      <c r="AG66" s="79">
        <v>0</v>
      </c>
      <c r="AH66" s="79">
        <v>0</v>
      </c>
      <c r="AI66" s="79">
        <v>0</v>
      </c>
      <c r="AJ66" s="79">
        <v>0</v>
      </c>
      <c r="AK66" s="79">
        <v>0</v>
      </c>
      <c r="AL66" s="79">
        <v>0</v>
      </c>
      <c r="AM66" s="79">
        <v>1</v>
      </c>
      <c r="AN66" s="79">
        <v>0</v>
      </c>
      <c r="AO66" s="79">
        <v>0</v>
      </c>
      <c r="AP66" s="79">
        <v>0</v>
      </c>
      <c r="AQ66" s="79">
        <v>0</v>
      </c>
      <c r="AR66" s="79">
        <v>0</v>
      </c>
      <c r="AS66" s="79">
        <v>0</v>
      </c>
      <c r="AT66" s="79">
        <v>0</v>
      </c>
      <c r="AU66" s="79">
        <v>0</v>
      </c>
      <c r="AV66" s="79">
        <v>0</v>
      </c>
      <c r="AW66" s="79">
        <v>0</v>
      </c>
      <c r="AX66" s="79">
        <v>0</v>
      </c>
      <c r="AY66" s="79">
        <v>0</v>
      </c>
      <c r="AZ66" s="79">
        <v>0</v>
      </c>
      <c r="BA66" s="79">
        <v>0</v>
      </c>
      <c r="BB66" s="79">
        <v>0</v>
      </c>
      <c r="BC66" s="79">
        <v>0</v>
      </c>
      <c r="BD66" s="79">
        <v>0</v>
      </c>
      <c r="BE66" s="79">
        <v>0</v>
      </c>
      <c r="BF66" s="79">
        <v>0</v>
      </c>
      <c r="BG66" s="79">
        <v>0</v>
      </c>
      <c r="BH66" s="79">
        <v>0</v>
      </c>
      <c r="BI66" s="79">
        <v>0</v>
      </c>
      <c r="BJ66" s="79">
        <v>0</v>
      </c>
      <c r="BK66" s="79">
        <v>0</v>
      </c>
      <c r="BL66" s="79">
        <v>0</v>
      </c>
      <c r="BM66" s="79">
        <v>0</v>
      </c>
    </row>
    <row r="67" spans="1:65" x14ac:dyDescent="0.25">
      <c r="A67" s="60">
        <f t="shared" si="3"/>
        <v>0</v>
      </c>
      <c r="B67" s="58" t="str">
        <f>'TB Data'!B72</f>
        <v>7103</v>
      </c>
      <c r="C67" s="60">
        <f t="shared" si="5"/>
        <v>1</v>
      </c>
      <c r="D67" s="84" t="s">
        <v>164</v>
      </c>
      <c r="E67" s="79">
        <v>0</v>
      </c>
      <c r="F67" s="79">
        <v>0</v>
      </c>
      <c r="G67" s="79">
        <v>0</v>
      </c>
      <c r="H67" s="79">
        <v>0</v>
      </c>
      <c r="I67" s="79">
        <v>0</v>
      </c>
      <c r="J67" s="79">
        <v>0</v>
      </c>
      <c r="K67" s="79">
        <v>0</v>
      </c>
      <c r="L67" s="79">
        <v>0</v>
      </c>
      <c r="M67" s="79">
        <v>0</v>
      </c>
      <c r="N67" s="79">
        <v>0</v>
      </c>
      <c r="O67" s="79">
        <v>0</v>
      </c>
      <c r="P67" s="79">
        <v>0</v>
      </c>
      <c r="Q67" s="79">
        <v>0</v>
      </c>
      <c r="R67" s="79">
        <v>0</v>
      </c>
      <c r="S67" s="79">
        <v>0</v>
      </c>
      <c r="T67" s="79">
        <v>0</v>
      </c>
      <c r="U67" s="79">
        <v>0</v>
      </c>
      <c r="V67" s="79">
        <v>0</v>
      </c>
      <c r="W67" s="79">
        <v>0</v>
      </c>
      <c r="X67" s="79">
        <v>0</v>
      </c>
      <c r="Y67" s="79">
        <v>0</v>
      </c>
      <c r="Z67" s="79">
        <v>0</v>
      </c>
      <c r="AA67" s="79">
        <v>0</v>
      </c>
      <c r="AB67" s="79">
        <v>0</v>
      </c>
      <c r="AC67" s="79">
        <v>0</v>
      </c>
      <c r="AD67" s="79">
        <v>0</v>
      </c>
      <c r="AE67" s="79">
        <v>0</v>
      </c>
      <c r="AF67" s="79">
        <v>0</v>
      </c>
      <c r="AG67" s="79">
        <v>0</v>
      </c>
      <c r="AH67" s="79">
        <v>0</v>
      </c>
      <c r="AI67" s="79">
        <v>0</v>
      </c>
      <c r="AJ67" s="79">
        <v>0</v>
      </c>
      <c r="AK67" s="79">
        <v>0</v>
      </c>
      <c r="AL67" s="79">
        <v>0</v>
      </c>
      <c r="AM67" s="79">
        <v>0</v>
      </c>
      <c r="AN67" s="79">
        <v>1</v>
      </c>
      <c r="AO67" s="79">
        <v>0</v>
      </c>
      <c r="AP67" s="79">
        <v>0</v>
      </c>
      <c r="AQ67" s="79">
        <v>0</v>
      </c>
      <c r="AR67" s="79">
        <v>0</v>
      </c>
      <c r="AS67" s="79">
        <v>0</v>
      </c>
      <c r="AT67" s="79">
        <v>0</v>
      </c>
      <c r="AU67" s="79">
        <v>0</v>
      </c>
      <c r="AV67" s="79">
        <v>0</v>
      </c>
      <c r="AW67" s="79">
        <v>0</v>
      </c>
      <c r="AX67" s="79">
        <v>0</v>
      </c>
      <c r="AY67" s="79">
        <v>0</v>
      </c>
      <c r="AZ67" s="79">
        <v>0</v>
      </c>
      <c r="BA67" s="79">
        <v>0</v>
      </c>
      <c r="BB67" s="79">
        <v>0</v>
      </c>
      <c r="BC67" s="79">
        <v>0</v>
      </c>
      <c r="BD67" s="79">
        <v>0</v>
      </c>
      <c r="BE67" s="79">
        <v>0</v>
      </c>
      <c r="BF67" s="79">
        <v>0</v>
      </c>
      <c r="BG67" s="79">
        <v>0</v>
      </c>
      <c r="BH67" s="79">
        <v>0</v>
      </c>
      <c r="BI67" s="79">
        <v>0</v>
      </c>
      <c r="BJ67" s="79">
        <v>0</v>
      </c>
      <c r="BK67" s="79">
        <v>0</v>
      </c>
      <c r="BL67" s="79">
        <v>0</v>
      </c>
      <c r="BM67" s="79">
        <v>0</v>
      </c>
    </row>
    <row r="68" spans="1:65" x14ac:dyDescent="0.25">
      <c r="A68" s="60">
        <f t="shared" si="3"/>
        <v>0</v>
      </c>
      <c r="B68" s="58" t="str">
        <f>'TB Data'!B73</f>
        <v>7105</v>
      </c>
      <c r="C68" s="60">
        <f t="shared" si="5"/>
        <v>1</v>
      </c>
      <c r="D68" s="84" t="s">
        <v>100</v>
      </c>
      <c r="E68" s="79">
        <v>0</v>
      </c>
      <c r="F68" s="79">
        <v>0</v>
      </c>
      <c r="G68" s="79">
        <v>0</v>
      </c>
      <c r="H68" s="79">
        <v>0</v>
      </c>
      <c r="I68" s="79">
        <v>0</v>
      </c>
      <c r="J68" s="79">
        <v>0</v>
      </c>
      <c r="K68" s="79">
        <v>0</v>
      </c>
      <c r="L68" s="79">
        <v>0</v>
      </c>
      <c r="M68" s="79">
        <v>0</v>
      </c>
      <c r="N68" s="79">
        <v>0</v>
      </c>
      <c r="O68" s="79">
        <v>0</v>
      </c>
      <c r="P68" s="79">
        <v>0</v>
      </c>
      <c r="Q68" s="79">
        <v>0</v>
      </c>
      <c r="R68" s="79">
        <v>0</v>
      </c>
      <c r="S68" s="79">
        <v>0</v>
      </c>
      <c r="T68" s="79">
        <v>0</v>
      </c>
      <c r="U68" s="79">
        <v>0</v>
      </c>
      <c r="V68" s="79">
        <v>0</v>
      </c>
      <c r="W68" s="79">
        <v>0</v>
      </c>
      <c r="X68" s="79">
        <v>0</v>
      </c>
      <c r="Y68" s="79">
        <v>0</v>
      </c>
      <c r="Z68" s="79">
        <v>0</v>
      </c>
      <c r="AA68" s="79">
        <v>0</v>
      </c>
      <c r="AB68" s="79">
        <v>0</v>
      </c>
      <c r="AC68" s="79">
        <v>0</v>
      </c>
      <c r="AD68" s="79">
        <v>0</v>
      </c>
      <c r="AE68" s="79">
        <v>0</v>
      </c>
      <c r="AF68" s="79">
        <v>0</v>
      </c>
      <c r="AG68" s="79">
        <v>0</v>
      </c>
      <c r="AH68" s="79">
        <v>0</v>
      </c>
      <c r="AI68" s="79">
        <v>0</v>
      </c>
      <c r="AJ68" s="79">
        <v>0</v>
      </c>
      <c r="AK68" s="79">
        <v>0</v>
      </c>
      <c r="AL68" s="79">
        <v>0</v>
      </c>
      <c r="AM68" s="79">
        <v>0</v>
      </c>
      <c r="AN68" s="79">
        <v>0</v>
      </c>
      <c r="AO68" s="79">
        <v>1</v>
      </c>
      <c r="AP68" s="79">
        <v>0</v>
      </c>
      <c r="AQ68" s="79">
        <v>0</v>
      </c>
      <c r="AR68" s="79">
        <v>0</v>
      </c>
      <c r="AS68" s="79">
        <v>0</v>
      </c>
      <c r="AT68" s="79">
        <v>0</v>
      </c>
      <c r="AU68" s="79">
        <v>0</v>
      </c>
      <c r="AV68" s="79">
        <v>0</v>
      </c>
      <c r="AW68" s="79">
        <v>0</v>
      </c>
      <c r="AX68" s="79">
        <v>0</v>
      </c>
      <c r="AY68" s="79">
        <v>0</v>
      </c>
      <c r="AZ68" s="79">
        <v>0</v>
      </c>
      <c r="BA68" s="79">
        <v>0</v>
      </c>
      <c r="BB68" s="79">
        <v>0</v>
      </c>
      <c r="BC68" s="79">
        <v>0</v>
      </c>
      <c r="BD68" s="79">
        <v>0</v>
      </c>
      <c r="BE68" s="79">
        <v>0</v>
      </c>
      <c r="BF68" s="79">
        <v>0</v>
      </c>
      <c r="BG68" s="79">
        <v>0</v>
      </c>
      <c r="BH68" s="79">
        <v>0</v>
      </c>
      <c r="BI68" s="79">
        <v>0</v>
      </c>
      <c r="BJ68" s="79">
        <v>0</v>
      </c>
      <c r="BK68" s="79">
        <v>0</v>
      </c>
      <c r="BL68" s="79">
        <v>0</v>
      </c>
      <c r="BM68" s="79">
        <v>0</v>
      </c>
    </row>
    <row r="69" spans="1:65" x14ac:dyDescent="0.25">
      <c r="A69" s="60">
        <f t="shared" si="3"/>
        <v>0</v>
      </c>
      <c r="B69" s="58" t="str">
        <f>'TB Data'!B74</f>
        <v>7200</v>
      </c>
      <c r="C69" s="60">
        <f t="shared" si="5"/>
        <v>1</v>
      </c>
      <c r="D69" s="84" t="s">
        <v>128</v>
      </c>
      <c r="E69" s="79">
        <v>0</v>
      </c>
      <c r="F69" s="79">
        <v>0</v>
      </c>
      <c r="G69" s="79">
        <v>0</v>
      </c>
      <c r="H69" s="79">
        <v>0</v>
      </c>
      <c r="I69" s="79">
        <v>0</v>
      </c>
      <c r="J69" s="79">
        <v>0</v>
      </c>
      <c r="K69" s="79">
        <v>0</v>
      </c>
      <c r="L69" s="79">
        <v>0</v>
      </c>
      <c r="M69" s="79">
        <v>0</v>
      </c>
      <c r="N69" s="79">
        <v>0</v>
      </c>
      <c r="O69" s="79">
        <v>0</v>
      </c>
      <c r="P69" s="79">
        <v>0</v>
      </c>
      <c r="Q69" s="79">
        <v>0</v>
      </c>
      <c r="R69" s="79">
        <v>0</v>
      </c>
      <c r="S69" s="79">
        <v>0</v>
      </c>
      <c r="T69" s="79">
        <v>0</v>
      </c>
      <c r="U69" s="79">
        <v>0</v>
      </c>
      <c r="V69" s="79">
        <v>0</v>
      </c>
      <c r="W69" s="79">
        <v>0</v>
      </c>
      <c r="X69" s="79">
        <v>0</v>
      </c>
      <c r="Y69" s="79">
        <v>0</v>
      </c>
      <c r="Z69" s="79">
        <v>0</v>
      </c>
      <c r="AA69" s="79">
        <v>0</v>
      </c>
      <c r="AB69" s="79">
        <v>0</v>
      </c>
      <c r="AC69" s="79">
        <v>0</v>
      </c>
      <c r="AD69" s="79">
        <v>0</v>
      </c>
      <c r="AE69" s="79">
        <v>0</v>
      </c>
      <c r="AF69" s="79">
        <v>0</v>
      </c>
      <c r="AG69" s="79">
        <v>0</v>
      </c>
      <c r="AH69" s="79">
        <v>0</v>
      </c>
      <c r="AI69" s="79">
        <v>0</v>
      </c>
      <c r="AJ69" s="79">
        <v>0</v>
      </c>
      <c r="AK69" s="79">
        <v>0</v>
      </c>
      <c r="AL69" s="79">
        <v>0</v>
      </c>
      <c r="AM69" s="79">
        <v>0</v>
      </c>
      <c r="AN69" s="79">
        <v>0</v>
      </c>
      <c r="AO69" s="79">
        <v>0</v>
      </c>
      <c r="AP69" s="79">
        <v>1</v>
      </c>
      <c r="AQ69" s="79">
        <v>0</v>
      </c>
      <c r="AR69" s="79">
        <v>0</v>
      </c>
      <c r="AS69" s="79">
        <v>0</v>
      </c>
      <c r="AT69" s="79">
        <v>0</v>
      </c>
      <c r="AU69" s="79">
        <v>0</v>
      </c>
      <c r="AV69" s="79">
        <v>0</v>
      </c>
      <c r="AW69" s="79">
        <v>0</v>
      </c>
      <c r="AX69" s="79">
        <v>0</v>
      </c>
      <c r="AY69" s="79">
        <v>0</v>
      </c>
      <c r="AZ69" s="79">
        <v>0</v>
      </c>
      <c r="BA69" s="79">
        <v>0</v>
      </c>
      <c r="BB69" s="79">
        <v>0</v>
      </c>
      <c r="BC69" s="79">
        <v>0</v>
      </c>
      <c r="BD69" s="79">
        <v>0</v>
      </c>
      <c r="BE69" s="79">
        <v>0</v>
      </c>
      <c r="BF69" s="79">
        <v>0</v>
      </c>
      <c r="BG69" s="79">
        <v>0</v>
      </c>
      <c r="BH69" s="79">
        <v>0</v>
      </c>
      <c r="BI69" s="79">
        <v>0</v>
      </c>
      <c r="BJ69" s="79">
        <v>0</v>
      </c>
      <c r="BK69" s="79">
        <v>0</v>
      </c>
      <c r="BL69" s="79">
        <v>0</v>
      </c>
      <c r="BM69" s="79">
        <v>0</v>
      </c>
    </row>
    <row r="70" spans="1:65" s="79" customFormat="1" x14ac:dyDescent="0.25">
      <c r="A70" s="60">
        <f t="shared" ref="A70" si="6">IF(B70=D70,0,1)</f>
        <v>0</v>
      </c>
      <c r="B70" s="58" t="str">
        <f>'TB Data'!B75</f>
        <v>7202</v>
      </c>
      <c r="C70" s="60">
        <f t="shared" si="5"/>
        <v>1</v>
      </c>
      <c r="D70" s="102" t="s">
        <v>127</v>
      </c>
      <c r="E70" s="79">
        <v>0</v>
      </c>
      <c r="F70" s="79">
        <v>0</v>
      </c>
      <c r="G70" s="79">
        <v>0</v>
      </c>
      <c r="H70" s="79">
        <v>0</v>
      </c>
      <c r="I70" s="79">
        <v>0</v>
      </c>
      <c r="J70" s="79">
        <v>0</v>
      </c>
      <c r="K70" s="79">
        <v>0</v>
      </c>
      <c r="L70" s="79">
        <v>0</v>
      </c>
      <c r="M70" s="79">
        <v>0</v>
      </c>
      <c r="N70" s="79">
        <v>0</v>
      </c>
      <c r="O70" s="79">
        <v>0</v>
      </c>
      <c r="P70" s="79">
        <v>0</v>
      </c>
      <c r="Q70" s="79">
        <v>0</v>
      </c>
      <c r="R70" s="79">
        <v>0</v>
      </c>
      <c r="S70" s="79">
        <v>0</v>
      </c>
      <c r="T70" s="79">
        <v>0</v>
      </c>
      <c r="U70" s="79">
        <v>0</v>
      </c>
      <c r="V70" s="79">
        <v>0</v>
      </c>
      <c r="W70" s="79">
        <v>0</v>
      </c>
      <c r="X70" s="79">
        <v>0</v>
      </c>
      <c r="Y70" s="79">
        <v>0</v>
      </c>
      <c r="Z70" s="79">
        <v>0</v>
      </c>
      <c r="AA70" s="79">
        <v>0</v>
      </c>
      <c r="AB70" s="79">
        <v>0</v>
      </c>
      <c r="AC70" s="79">
        <v>0</v>
      </c>
      <c r="AD70" s="79">
        <v>0</v>
      </c>
      <c r="AE70" s="79">
        <v>0</v>
      </c>
      <c r="AF70" s="79">
        <v>0</v>
      </c>
      <c r="AG70" s="79">
        <v>0</v>
      </c>
      <c r="AH70" s="79">
        <v>0</v>
      </c>
      <c r="AI70" s="79">
        <v>0</v>
      </c>
      <c r="AJ70" s="79">
        <v>0</v>
      </c>
      <c r="AK70" s="79">
        <v>0</v>
      </c>
      <c r="AL70" s="79">
        <v>0</v>
      </c>
      <c r="AM70" s="79">
        <v>0</v>
      </c>
      <c r="AN70" s="79">
        <v>0</v>
      </c>
      <c r="AO70" s="79">
        <v>0</v>
      </c>
      <c r="AP70" s="79">
        <v>0</v>
      </c>
      <c r="AQ70" s="79">
        <v>1</v>
      </c>
      <c r="AR70" s="79">
        <v>0</v>
      </c>
      <c r="AS70" s="79">
        <v>0</v>
      </c>
      <c r="AT70" s="79">
        <v>0</v>
      </c>
      <c r="AU70" s="79">
        <v>0</v>
      </c>
      <c r="AV70" s="79">
        <v>0</v>
      </c>
      <c r="AW70" s="79">
        <v>0</v>
      </c>
      <c r="AX70" s="79">
        <v>0</v>
      </c>
      <c r="AY70" s="79">
        <v>0</v>
      </c>
      <c r="AZ70" s="79">
        <v>0</v>
      </c>
      <c r="BA70" s="79">
        <v>0</v>
      </c>
      <c r="BB70" s="79">
        <v>0</v>
      </c>
      <c r="BC70" s="79">
        <v>0</v>
      </c>
      <c r="BD70" s="79">
        <v>0</v>
      </c>
      <c r="BE70" s="79">
        <v>0</v>
      </c>
      <c r="BF70" s="79">
        <v>0</v>
      </c>
      <c r="BG70" s="79">
        <v>0</v>
      </c>
      <c r="BH70" s="79">
        <v>0</v>
      </c>
      <c r="BI70" s="79">
        <v>0</v>
      </c>
      <c r="BJ70" s="79">
        <v>0</v>
      </c>
      <c r="BK70" s="79">
        <v>0</v>
      </c>
      <c r="BL70" s="79">
        <v>0</v>
      </c>
      <c r="BM70" s="79">
        <v>0</v>
      </c>
    </row>
    <row r="71" spans="1:65" s="79" customFormat="1" x14ac:dyDescent="0.25">
      <c r="A71" s="60">
        <f t="shared" ref="A71" si="7">IF(B71=D71,0,1)</f>
        <v>0</v>
      </c>
      <c r="B71" s="58" t="str">
        <f>'TB Data'!B76</f>
        <v>7204</v>
      </c>
      <c r="C71" s="60">
        <f t="shared" ref="C71:C100" si="8">SUM(E71:BM71)</f>
        <v>1</v>
      </c>
      <c r="D71" s="102" t="s">
        <v>126</v>
      </c>
      <c r="E71" s="79">
        <v>0</v>
      </c>
      <c r="F71" s="79">
        <v>0</v>
      </c>
      <c r="G71" s="79">
        <v>0</v>
      </c>
      <c r="H71" s="79">
        <v>0</v>
      </c>
      <c r="I71" s="79">
        <v>0</v>
      </c>
      <c r="J71" s="79">
        <v>0</v>
      </c>
      <c r="K71" s="79">
        <v>0</v>
      </c>
      <c r="L71" s="79">
        <v>0</v>
      </c>
      <c r="M71" s="79">
        <v>0</v>
      </c>
      <c r="N71" s="79">
        <v>0</v>
      </c>
      <c r="O71" s="79">
        <v>0</v>
      </c>
      <c r="P71" s="79">
        <v>0</v>
      </c>
      <c r="Q71" s="79">
        <v>0</v>
      </c>
      <c r="R71" s="79">
        <v>0</v>
      </c>
      <c r="S71" s="79">
        <v>0</v>
      </c>
      <c r="T71" s="79">
        <v>0</v>
      </c>
      <c r="U71" s="79">
        <v>0</v>
      </c>
      <c r="V71" s="79">
        <v>0</v>
      </c>
      <c r="W71" s="79">
        <v>0</v>
      </c>
      <c r="X71" s="79">
        <v>0</v>
      </c>
      <c r="Y71" s="79">
        <v>0</v>
      </c>
      <c r="Z71" s="79">
        <v>0</v>
      </c>
      <c r="AA71" s="79">
        <v>0</v>
      </c>
      <c r="AB71" s="79">
        <v>0</v>
      </c>
      <c r="AC71" s="79">
        <v>0</v>
      </c>
      <c r="AD71" s="79">
        <v>0</v>
      </c>
      <c r="AE71" s="79">
        <v>0</v>
      </c>
      <c r="AF71" s="79">
        <v>0</v>
      </c>
      <c r="AG71" s="79">
        <v>0</v>
      </c>
      <c r="AH71" s="79">
        <v>0</v>
      </c>
      <c r="AI71" s="79">
        <v>0</v>
      </c>
      <c r="AJ71" s="79">
        <v>0</v>
      </c>
      <c r="AK71" s="79">
        <v>0</v>
      </c>
      <c r="AL71" s="79">
        <v>0</v>
      </c>
      <c r="AM71" s="79">
        <v>0</v>
      </c>
      <c r="AN71" s="79">
        <v>0</v>
      </c>
      <c r="AO71" s="79">
        <v>0</v>
      </c>
      <c r="AP71" s="79">
        <v>0</v>
      </c>
      <c r="AQ71" s="79">
        <v>0</v>
      </c>
      <c r="AR71" s="79">
        <v>1</v>
      </c>
      <c r="AS71" s="79">
        <v>0</v>
      </c>
      <c r="AT71" s="79">
        <v>0</v>
      </c>
      <c r="AU71" s="79">
        <v>0</v>
      </c>
      <c r="AV71" s="79">
        <v>0</v>
      </c>
      <c r="AW71" s="79">
        <v>0</v>
      </c>
      <c r="AX71" s="79">
        <v>0</v>
      </c>
      <c r="AY71" s="79">
        <v>0</v>
      </c>
      <c r="AZ71" s="79">
        <v>0</v>
      </c>
      <c r="BA71" s="79">
        <v>0</v>
      </c>
      <c r="BB71" s="79">
        <v>0</v>
      </c>
      <c r="BC71" s="79">
        <v>0</v>
      </c>
      <c r="BD71" s="79">
        <v>0</v>
      </c>
      <c r="BE71" s="79">
        <v>0</v>
      </c>
      <c r="BF71" s="79">
        <v>0</v>
      </c>
      <c r="BG71" s="79">
        <v>0</v>
      </c>
      <c r="BH71" s="79">
        <v>0</v>
      </c>
      <c r="BI71" s="79">
        <v>0</v>
      </c>
      <c r="BJ71" s="79">
        <v>0</v>
      </c>
      <c r="BK71" s="79">
        <v>0</v>
      </c>
      <c r="BL71" s="79">
        <v>0</v>
      </c>
      <c r="BM71" s="79">
        <v>0</v>
      </c>
    </row>
    <row r="72" spans="1:65" x14ac:dyDescent="0.25">
      <c r="A72" s="60">
        <f t="shared" si="3"/>
        <v>0</v>
      </c>
      <c r="B72" s="58" t="str">
        <f>'TB Data'!B77</f>
        <v>7206</v>
      </c>
      <c r="C72" s="60">
        <f t="shared" si="8"/>
        <v>1</v>
      </c>
      <c r="D72" s="84" t="s">
        <v>99</v>
      </c>
      <c r="E72" s="79">
        <v>0</v>
      </c>
      <c r="F72" s="79">
        <v>0</v>
      </c>
      <c r="G72" s="79">
        <v>0</v>
      </c>
      <c r="H72" s="79">
        <v>0</v>
      </c>
      <c r="I72" s="79">
        <v>0</v>
      </c>
      <c r="J72" s="79">
        <v>0</v>
      </c>
      <c r="K72" s="79">
        <v>0</v>
      </c>
      <c r="L72" s="79">
        <v>0</v>
      </c>
      <c r="M72" s="79">
        <v>0</v>
      </c>
      <c r="N72" s="79">
        <v>0</v>
      </c>
      <c r="O72" s="79">
        <v>0</v>
      </c>
      <c r="P72" s="79">
        <v>0</v>
      </c>
      <c r="Q72" s="79">
        <v>0</v>
      </c>
      <c r="R72" s="79">
        <v>0</v>
      </c>
      <c r="S72" s="79">
        <v>0</v>
      </c>
      <c r="T72" s="79">
        <v>0</v>
      </c>
      <c r="U72" s="79">
        <v>0</v>
      </c>
      <c r="V72" s="79">
        <v>0</v>
      </c>
      <c r="W72" s="79">
        <v>0</v>
      </c>
      <c r="X72" s="79">
        <v>0</v>
      </c>
      <c r="Y72" s="79">
        <v>0</v>
      </c>
      <c r="Z72" s="79">
        <v>0</v>
      </c>
      <c r="AA72" s="79">
        <v>0</v>
      </c>
      <c r="AB72" s="79">
        <v>0</v>
      </c>
      <c r="AC72" s="79">
        <v>0</v>
      </c>
      <c r="AD72" s="79">
        <v>0</v>
      </c>
      <c r="AE72" s="79">
        <v>0</v>
      </c>
      <c r="AF72" s="79">
        <v>0</v>
      </c>
      <c r="AG72" s="79">
        <v>0</v>
      </c>
      <c r="AH72" s="79">
        <v>0</v>
      </c>
      <c r="AI72" s="79">
        <v>0</v>
      </c>
      <c r="AJ72" s="79">
        <v>0</v>
      </c>
      <c r="AK72" s="79">
        <v>0</v>
      </c>
      <c r="AL72" s="79">
        <v>0</v>
      </c>
      <c r="AM72" s="79">
        <v>0</v>
      </c>
      <c r="AN72" s="79">
        <v>0</v>
      </c>
      <c r="AO72" s="79">
        <v>0</v>
      </c>
      <c r="AP72" s="79">
        <v>0</v>
      </c>
      <c r="AQ72" s="79">
        <v>0</v>
      </c>
      <c r="AR72" s="79">
        <v>0</v>
      </c>
      <c r="AS72" s="79">
        <v>1</v>
      </c>
      <c r="AT72" s="79">
        <v>0</v>
      </c>
      <c r="AU72" s="79">
        <v>0</v>
      </c>
      <c r="AV72" s="79">
        <v>0</v>
      </c>
      <c r="AW72" s="79">
        <v>0</v>
      </c>
      <c r="AX72" s="79">
        <v>0</v>
      </c>
      <c r="AY72" s="79">
        <v>0</v>
      </c>
      <c r="AZ72" s="79">
        <v>0</v>
      </c>
      <c r="BA72" s="79">
        <v>0</v>
      </c>
      <c r="BB72" s="79">
        <v>0</v>
      </c>
      <c r="BC72" s="79">
        <v>0</v>
      </c>
      <c r="BD72" s="79">
        <v>0</v>
      </c>
      <c r="BE72" s="79">
        <v>0</v>
      </c>
      <c r="BF72" s="79">
        <v>0</v>
      </c>
      <c r="BG72" s="79">
        <v>0</v>
      </c>
      <c r="BH72" s="79">
        <v>0</v>
      </c>
      <c r="BI72" s="79">
        <v>0</v>
      </c>
      <c r="BJ72" s="79">
        <v>0</v>
      </c>
      <c r="BK72" s="79">
        <v>0</v>
      </c>
      <c r="BL72" s="79">
        <v>0</v>
      </c>
      <c r="BM72" s="79">
        <v>0</v>
      </c>
    </row>
    <row r="73" spans="1:65" x14ac:dyDescent="0.25">
      <c r="A73" s="60">
        <f t="shared" si="3"/>
        <v>0</v>
      </c>
      <c r="B73" s="58" t="str">
        <f>'TB Data'!B78</f>
        <v>7503</v>
      </c>
      <c r="C73" s="60">
        <f t="shared" si="8"/>
        <v>1</v>
      </c>
      <c r="D73" s="84" t="s">
        <v>322</v>
      </c>
      <c r="E73" s="79">
        <v>0</v>
      </c>
      <c r="F73" s="79">
        <v>0</v>
      </c>
      <c r="G73" s="79">
        <v>0</v>
      </c>
      <c r="H73" s="79">
        <v>0</v>
      </c>
      <c r="I73" s="79">
        <v>0</v>
      </c>
      <c r="J73" s="79">
        <v>0</v>
      </c>
      <c r="K73" s="79">
        <v>0</v>
      </c>
      <c r="L73" s="79">
        <v>0</v>
      </c>
      <c r="M73" s="79">
        <v>0</v>
      </c>
      <c r="N73" s="79">
        <v>0</v>
      </c>
      <c r="O73" s="79">
        <v>0</v>
      </c>
      <c r="P73" s="79">
        <v>0</v>
      </c>
      <c r="Q73" s="79">
        <v>0</v>
      </c>
      <c r="R73" s="79">
        <v>0</v>
      </c>
      <c r="S73" s="79">
        <v>0</v>
      </c>
      <c r="T73" s="79">
        <v>0</v>
      </c>
      <c r="U73" s="79">
        <v>0</v>
      </c>
      <c r="V73" s="79">
        <v>0</v>
      </c>
      <c r="W73" s="79">
        <v>0</v>
      </c>
      <c r="X73" s="79">
        <v>0</v>
      </c>
      <c r="Y73" s="79">
        <v>0</v>
      </c>
      <c r="Z73" s="79">
        <v>0</v>
      </c>
      <c r="AA73" s="79">
        <v>0</v>
      </c>
      <c r="AB73" s="79">
        <v>0</v>
      </c>
      <c r="AC73" s="79">
        <v>0</v>
      </c>
      <c r="AD73" s="79">
        <v>0</v>
      </c>
      <c r="AE73" s="79">
        <v>0</v>
      </c>
      <c r="AF73" s="79">
        <v>0</v>
      </c>
      <c r="AG73" s="79">
        <v>0</v>
      </c>
      <c r="AH73" s="79">
        <v>0</v>
      </c>
      <c r="AI73" s="79">
        <v>0</v>
      </c>
      <c r="AJ73" s="79">
        <v>0</v>
      </c>
      <c r="AK73" s="79">
        <v>0</v>
      </c>
      <c r="AL73" s="79">
        <v>0</v>
      </c>
      <c r="AM73" s="79">
        <v>0</v>
      </c>
      <c r="AN73" s="79">
        <v>0</v>
      </c>
      <c r="AO73" s="79">
        <v>0</v>
      </c>
      <c r="AP73" s="79">
        <v>0</v>
      </c>
      <c r="AQ73" s="79">
        <v>0</v>
      </c>
      <c r="AR73" s="79">
        <v>0</v>
      </c>
      <c r="AS73" s="79">
        <v>0</v>
      </c>
      <c r="AT73" s="79">
        <v>0</v>
      </c>
      <c r="AU73" s="79">
        <v>0</v>
      </c>
      <c r="AV73" s="79">
        <v>0</v>
      </c>
      <c r="AW73" s="79">
        <v>0</v>
      </c>
      <c r="AX73" s="79">
        <v>0</v>
      </c>
      <c r="AY73" s="79">
        <v>0</v>
      </c>
      <c r="AZ73" s="79">
        <v>0</v>
      </c>
      <c r="BA73" s="79">
        <v>0</v>
      </c>
      <c r="BB73" s="79">
        <v>0</v>
      </c>
      <c r="BC73" s="79">
        <v>0</v>
      </c>
      <c r="BD73" s="79">
        <v>0</v>
      </c>
      <c r="BE73" s="79">
        <v>0</v>
      </c>
      <c r="BF73" s="79">
        <v>0</v>
      </c>
      <c r="BG73" s="79">
        <v>0</v>
      </c>
      <c r="BH73" s="79">
        <v>0</v>
      </c>
      <c r="BI73" s="79">
        <v>0</v>
      </c>
      <c r="BJ73" s="79">
        <v>0</v>
      </c>
      <c r="BK73" s="79">
        <v>0</v>
      </c>
      <c r="BL73" s="79">
        <v>0</v>
      </c>
      <c r="BM73" s="79">
        <v>1</v>
      </c>
    </row>
    <row r="74" spans="1:65" x14ac:dyDescent="0.25">
      <c r="A74" s="60">
        <f t="shared" ref="A74:A100" si="9">IF(B75=D75,0,1)</f>
        <v>0</v>
      </c>
      <c r="B74" s="58">
        <f>'TB Data'!B79</f>
        <v>7604</v>
      </c>
      <c r="C74" s="60">
        <f t="shared" si="8"/>
        <v>1</v>
      </c>
      <c r="D74" s="84">
        <v>7604</v>
      </c>
      <c r="E74" s="79">
        <v>0</v>
      </c>
      <c r="F74" s="79">
        <v>0</v>
      </c>
      <c r="G74" s="79">
        <v>0</v>
      </c>
      <c r="H74" s="79">
        <v>0</v>
      </c>
      <c r="I74" s="79">
        <v>0</v>
      </c>
      <c r="J74" s="79">
        <v>0</v>
      </c>
      <c r="K74" s="79">
        <v>0</v>
      </c>
      <c r="L74" s="79">
        <v>0</v>
      </c>
      <c r="M74" s="79">
        <v>0</v>
      </c>
      <c r="N74" s="79">
        <v>0</v>
      </c>
      <c r="O74" s="79">
        <v>0</v>
      </c>
      <c r="P74" s="79">
        <v>0</v>
      </c>
      <c r="Q74" s="79">
        <v>0</v>
      </c>
      <c r="R74" s="79">
        <v>0</v>
      </c>
      <c r="S74" s="79">
        <v>0</v>
      </c>
      <c r="T74" s="79">
        <v>0</v>
      </c>
      <c r="U74" s="79">
        <v>0</v>
      </c>
      <c r="V74" s="79">
        <v>0</v>
      </c>
      <c r="W74" s="79">
        <v>0</v>
      </c>
      <c r="X74" s="79">
        <v>0</v>
      </c>
      <c r="Y74" s="79">
        <v>0</v>
      </c>
      <c r="Z74" s="79">
        <v>0</v>
      </c>
      <c r="AA74" s="79">
        <v>0</v>
      </c>
      <c r="AB74" s="79">
        <v>0</v>
      </c>
      <c r="AC74" s="79">
        <v>0</v>
      </c>
      <c r="AD74" s="79">
        <v>0</v>
      </c>
      <c r="AE74" s="79">
        <v>0</v>
      </c>
      <c r="AF74" s="79">
        <v>0</v>
      </c>
      <c r="AG74" s="79">
        <v>0</v>
      </c>
      <c r="AH74" s="79">
        <v>0</v>
      </c>
      <c r="AI74" s="79">
        <v>0</v>
      </c>
      <c r="AJ74" s="79">
        <v>0</v>
      </c>
      <c r="AK74" s="79">
        <v>0</v>
      </c>
      <c r="AL74" s="79">
        <v>0</v>
      </c>
      <c r="AM74" s="79">
        <v>0</v>
      </c>
      <c r="AN74" s="79">
        <v>0</v>
      </c>
      <c r="AO74" s="79">
        <v>0</v>
      </c>
      <c r="AP74" s="79">
        <v>0</v>
      </c>
      <c r="AQ74" s="79">
        <v>0</v>
      </c>
      <c r="AR74" s="79">
        <v>0</v>
      </c>
      <c r="AS74" s="79">
        <v>0</v>
      </c>
      <c r="AT74" s="79">
        <v>0</v>
      </c>
      <c r="AU74" s="79">
        <v>0</v>
      </c>
      <c r="AV74" s="79">
        <v>0</v>
      </c>
      <c r="AW74" s="79">
        <v>1</v>
      </c>
      <c r="AX74" s="79">
        <v>0</v>
      </c>
      <c r="AY74" s="79">
        <v>0</v>
      </c>
      <c r="AZ74" s="79">
        <v>0</v>
      </c>
      <c r="BA74" s="79">
        <v>0</v>
      </c>
      <c r="BB74" s="79">
        <v>0</v>
      </c>
      <c r="BC74" s="79">
        <v>0</v>
      </c>
      <c r="BD74" s="79">
        <v>0</v>
      </c>
      <c r="BE74" s="79">
        <v>0</v>
      </c>
      <c r="BF74" s="79">
        <v>0</v>
      </c>
      <c r="BG74" s="79">
        <v>0</v>
      </c>
      <c r="BH74" s="79">
        <v>0</v>
      </c>
      <c r="BI74" s="79">
        <v>0</v>
      </c>
      <c r="BJ74" s="79">
        <v>0</v>
      </c>
      <c r="BK74" s="79">
        <v>0</v>
      </c>
      <c r="BL74" s="79">
        <v>0</v>
      </c>
      <c r="BM74" s="79">
        <v>0</v>
      </c>
    </row>
    <row r="75" spans="1:65" x14ac:dyDescent="0.25">
      <c r="A75" s="60">
        <f t="shared" si="9"/>
        <v>0</v>
      </c>
      <c r="B75" s="58" t="str">
        <f>'TB Data'!B80</f>
        <v>7901</v>
      </c>
      <c r="C75" s="60">
        <f t="shared" si="8"/>
        <v>1</v>
      </c>
      <c r="D75" s="84" t="s">
        <v>323</v>
      </c>
      <c r="E75" s="79">
        <v>0</v>
      </c>
      <c r="F75" s="79">
        <v>0</v>
      </c>
      <c r="G75" s="79">
        <v>0</v>
      </c>
      <c r="H75" s="79">
        <v>0</v>
      </c>
      <c r="I75" s="79">
        <v>0</v>
      </c>
      <c r="J75" s="79">
        <v>0</v>
      </c>
      <c r="K75" s="79">
        <v>0</v>
      </c>
      <c r="L75" s="79">
        <v>0</v>
      </c>
      <c r="M75" s="79">
        <v>0</v>
      </c>
      <c r="N75" s="79">
        <v>0</v>
      </c>
      <c r="O75" s="79">
        <v>0</v>
      </c>
      <c r="P75" s="79">
        <v>0</v>
      </c>
      <c r="Q75" s="79">
        <v>0</v>
      </c>
      <c r="R75" s="79">
        <v>0</v>
      </c>
      <c r="S75" s="79">
        <v>0</v>
      </c>
      <c r="T75" s="79">
        <v>0</v>
      </c>
      <c r="U75" s="79">
        <v>0</v>
      </c>
      <c r="V75" s="79">
        <v>0</v>
      </c>
      <c r="W75" s="79">
        <v>0</v>
      </c>
      <c r="X75" s="79">
        <v>0</v>
      </c>
      <c r="Y75" s="79">
        <v>0</v>
      </c>
      <c r="Z75" s="79">
        <v>0</v>
      </c>
      <c r="AA75" s="79">
        <v>0</v>
      </c>
      <c r="AB75" s="79">
        <v>0</v>
      </c>
      <c r="AC75" s="79">
        <v>0</v>
      </c>
      <c r="AD75" s="79">
        <v>0</v>
      </c>
      <c r="AE75" s="79">
        <v>0</v>
      </c>
      <c r="AF75" s="79">
        <v>0</v>
      </c>
      <c r="AG75" s="79">
        <v>0</v>
      </c>
      <c r="AH75" s="79">
        <v>0</v>
      </c>
      <c r="AI75" s="79">
        <v>0</v>
      </c>
      <c r="AJ75" s="79">
        <v>0</v>
      </c>
      <c r="AK75" s="79">
        <v>0</v>
      </c>
      <c r="AL75" s="79">
        <v>0</v>
      </c>
      <c r="AM75" s="79">
        <v>0</v>
      </c>
      <c r="AN75" s="79">
        <v>0</v>
      </c>
      <c r="AO75" s="79">
        <v>0</v>
      </c>
      <c r="AP75" s="79">
        <v>0</v>
      </c>
      <c r="AQ75" s="79">
        <v>0</v>
      </c>
      <c r="AR75" s="79">
        <v>0</v>
      </c>
      <c r="AS75" s="79">
        <v>0</v>
      </c>
      <c r="AT75" s="79">
        <v>0</v>
      </c>
      <c r="AU75" s="79">
        <v>0</v>
      </c>
      <c r="AV75" s="79">
        <v>0</v>
      </c>
      <c r="AW75" s="79">
        <v>0</v>
      </c>
      <c r="AX75" s="79">
        <v>1</v>
      </c>
      <c r="AY75" s="79">
        <v>0</v>
      </c>
      <c r="AZ75" s="79">
        <v>0</v>
      </c>
      <c r="BA75" s="79">
        <v>0</v>
      </c>
      <c r="BB75" s="79">
        <v>0</v>
      </c>
      <c r="BC75" s="79">
        <v>0</v>
      </c>
      <c r="BD75" s="79">
        <v>0</v>
      </c>
      <c r="BE75" s="79">
        <v>0</v>
      </c>
      <c r="BF75" s="79">
        <v>0</v>
      </c>
      <c r="BG75" s="79">
        <v>0</v>
      </c>
      <c r="BH75" s="79">
        <v>0</v>
      </c>
      <c r="BI75" s="79">
        <v>0</v>
      </c>
      <c r="BJ75" s="79">
        <v>0</v>
      </c>
      <c r="BK75" s="79">
        <v>0</v>
      </c>
      <c r="BL75" s="79">
        <v>0</v>
      </c>
      <c r="BM75" s="79">
        <v>0</v>
      </c>
    </row>
    <row r="76" spans="1:65" s="79" customFormat="1" x14ac:dyDescent="0.25">
      <c r="A76" s="60">
        <f t="shared" si="9"/>
        <v>0</v>
      </c>
      <c r="B76" s="58" t="str">
        <f>'TB Data'!B81</f>
        <v>7906</v>
      </c>
      <c r="C76" s="60">
        <f t="shared" si="8"/>
        <v>1</v>
      </c>
      <c r="D76" s="84" t="s">
        <v>207</v>
      </c>
      <c r="E76" s="79">
        <v>0</v>
      </c>
      <c r="F76" s="79">
        <v>1</v>
      </c>
      <c r="G76" s="79">
        <v>0</v>
      </c>
      <c r="H76" s="79">
        <v>0</v>
      </c>
      <c r="I76" s="79">
        <v>0</v>
      </c>
      <c r="J76" s="79">
        <v>0</v>
      </c>
      <c r="K76" s="79">
        <v>0</v>
      </c>
      <c r="L76" s="79">
        <v>0</v>
      </c>
      <c r="M76" s="79">
        <v>0</v>
      </c>
      <c r="N76" s="79">
        <v>0</v>
      </c>
      <c r="O76" s="79">
        <v>0</v>
      </c>
      <c r="P76" s="79">
        <v>0</v>
      </c>
      <c r="Q76" s="79">
        <v>0</v>
      </c>
      <c r="R76" s="79">
        <v>0</v>
      </c>
      <c r="S76" s="79">
        <v>0</v>
      </c>
      <c r="T76" s="79">
        <v>0</v>
      </c>
      <c r="U76" s="79">
        <v>0</v>
      </c>
      <c r="V76" s="79">
        <v>0</v>
      </c>
      <c r="W76" s="79">
        <v>0</v>
      </c>
      <c r="X76" s="79">
        <v>0</v>
      </c>
      <c r="Y76" s="79">
        <v>0</v>
      </c>
      <c r="Z76" s="79">
        <v>0</v>
      </c>
      <c r="AA76" s="79">
        <v>0</v>
      </c>
      <c r="AB76" s="79">
        <v>0</v>
      </c>
      <c r="AC76" s="79">
        <v>0</v>
      </c>
      <c r="AD76" s="79">
        <v>0</v>
      </c>
      <c r="AE76" s="79">
        <v>0</v>
      </c>
      <c r="AF76" s="79">
        <v>0</v>
      </c>
      <c r="AG76" s="79">
        <v>0</v>
      </c>
      <c r="AH76" s="79">
        <v>0</v>
      </c>
      <c r="AI76" s="79">
        <v>0</v>
      </c>
      <c r="AJ76" s="79">
        <v>0</v>
      </c>
      <c r="AK76" s="79">
        <v>0</v>
      </c>
      <c r="AL76" s="79">
        <v>0</v>
      </c>
      <c r="AM76" s="79">
        <v>0</v>
      </c>
      <c r="AN76" s="79">
        <v>0</v>
      </c>
      <c r="AO76" s="79">
        <v>0</v>
      </c>
      <c r="AP76" s="79">
        <v>0</v>
      </c>
      <c r="AQ76" s="79">
        <v>0</v>
      </c>
      <c r="AR76" s="79">
        <v>0</v>
      </c>
      <c r="AS76" s="79">
        <v>0</v>
      </c>
      <c r="AT76" s="79">
        <v>0</v>
      </c>
      <c r="AU76" s="79">
        <v>0</v>
      </c>
      <c r="AV76" s="79">
        <v>0</v>
      </c>
      <c r="AW76" s="79">
        <v>0</v>
      </c>
      <c r="AX76" s="79">
        <v>0</v>
      </c>
      <c r="AY76" s="79">
        <v>0</v>
      </c>
      <c r="AZ76" s="79">
        <v>0</v>
      </c>
      <c r="BA76" s="79">
        <v>0</v>
      </c>
      <c r="BB76" s="79">
        <v>0</v>
      </c>
      <c r="BC76" s="79">
        <v>0</v>
      </c>
      <c r="BD76" s="79">
        <v>0</v>
      </c>
      <c r="BE76" s="79">
        <v>0</v>
      </c>
      <c r="BF76" s="79">
        <v>0</v>
      </c>
      <c r="BG76" s="79">
        <v>0</v>
      </c>
      <c r="BH76" s="79">
        <v>0</v>
      </c>
      <c r="BI76" s="79">
        <v>0</v>
      </c>
      <c r="BJ76" s="79">
        <v>0</v>
      </c>
      <c r="BK76" s="79">
        <v>0</v>
      </c>
      <c r="BL76" s="79">
        <v>0</v>
      </c>
      <c r="BM76" s="79">
        <v>0</v>
      </c>
    </row>
    <row r="77" spans="1:65" x14ac:dyDescent="0.25">
      <c r="A77" s="60">
        <f t="shared" si="9"/>
        <v>0</v>
      </c>
      <c r="B77" s="58" t="str">
        <f>'TB Data'!B82</f>
        <v>8100</v>
      </c>
      <c r="C77" s="60">
        <f t="shared" si="8"/>
        <v>1</v>
      </c>
      <c r="D77" s="84" t="s">
        <v>125</v>
      </c>
      <c r="E77" s="79">
        <v>0</v>
      </c>
      <c r="F77" s="79">
        <v>0</v>
      </c>
      <c r="G77" s="79">
        <v>0</v>
      </c>
      <c r="H77" s="79">
        <v>0</v>
      </c>
      <c r="I77" s="79">
        <v>0</v>
      </c>
      <c r="J77" s="79">
        <v>0</v>
      </c>
      <c r="K77" s="79">
        <v>0</v>
      </c>
      <c r="L77" s="79">
        <v>0</v>
      </c>
      <c r="M77" s="79">
        <v>0</v>
      </c>
      <c r="N77" s="79">
        <v>0</v>
      </c>
      <c r="O77" s="79">
        <v>0</v>
      </c>
      <c r="P77" s="79">
        <v>0</v>
      </c>
      <c r="Q77" s="79">
        <v>0</v>
      </c>
      <c r="R77" s="79">
        <v>0</v>
      </c>
      <c r="S77" s="79">
        <v>0</v>
      </c>
      <c r="T77" s="79">
        <v>0</v>
      </c>
      <c r="U77" s="79">
        <v>0</v>
      </c>
      <c r="V77" s="79">
        <v>0</v>
      </c>
      <c r="W77" s="79">
        <v>0</v>
      </c>
      <c r="X77" s="79">
        <v>0</v>
      </c>
      <c r="Y77" s="79">
        <v>0</v>
      </c>
      <c r="Z77" s="79">
        <v>0</v>
      </c>
      <c r="AA77" s="79">
        <v>0</v>
      </c>
      <c r="AB77" s="79">
        <v>0</v>
      </c>
      <c r="AC77" s="79">
        <v>0</v>
      </c>
      <c r="AD77" s="79">
        <v>0</v>
      </c>
      <c r="AE77" s="79">
        <v>0</v>
      </c>
      <c r="AF77" s="79">
        <v>0</v>
      </c>
      <c r="AG77" s="79">
        <v>0</v>
      </c>
      <c r="AH77" s="79">
        <v>0</v>
      </c>
      <c r="AI77" s="79">
        <v>0</v>
      </c>
      <c r="AJ77" s="79">
        <v>0</v>
      </c>
      <c r="AK77" s="79">
        <v>0</v>
      </c>
      <c r="AL77" s="79">
        <v>0</v>
      </c>
      <c r="AM77" s="79">
        <v>0</v>
      </c>
      <c r="AN77" s="79">
        <v>0</v>
      </c>
      <c r="AO77" s="79">
        <v>0</v>
      </c>
      <c r="AP77" s="79">
        <v>0</v>
      </c>
      <c r="AQ77" s="79">
        <v>0</v>
      </c>
      <c r="AR77" s="79">
        <v>0</v>
      </c>
      <c r="AS77" s="79">
        <v>0</v>
      </c>
      <c r="AT77" s="79">
        <v>0</v>
      </c>
      <c r="AU77" s="79">
        <v>1</v>
      </c>
      <c r="AV77" s="79">
        <v>0</v>
      </c>
      <c r="AW77" s="79">
        <v>0</v>
      </c>
      <c r="AX77" s="79">
        <v>0</v>
      </c>
      <c r="AY77" s="79">
        <v>0</v>
      </c>
      <c r="AZ77" s="79">
        <v>0</v>
      </c>
      <c r="BA77" s="79">
        <v>0</v>
      </c>
      <c r="BB77" s="79">
        <v>0</v>
      </c>
      <c r="BC77" s="79">
        <v>0</v>
      </c>
      <c r="BD77" s="79">
        <v>0</v>
      </c>
      <c r="BE77" s="79">
        <v>0</v>
      </c>
      <c r="BF77" s="79">
        <v>0</v>
      </c>
      <c r="BG77" s="79">
        <v>0</v>
      </c>
      <c r="BH77" s="79">
        <v>0</v>
      </c>
      <c r="BI77" s="79">
        <v>0</v>
      </c>
      <c r="BJ77" s="79">
        <v>0</v>
      </c>
      <c r="BK77" s="79">
        <v>0</v>
      </c>
      <c r="BL77" s="79">
        <v>0</v>
      </c>
      <c r="BM77" s="79">
        <v>0</v>
      </c>
    </row>
    <row r="78" spans="1:65" x14ac:dyDescent="0.25">
      <c r="A78" s="60">
        <f t="shared" si="9"/>
        <v>0</v>
      </c>
      <c r="B78" s="58" t="str">
        <f>'TB Data'!B83</f>
        <v>8102</v>
      </c>
      <c r="C78" s="60">
        <f t="shared" si="8"/>
        <v>1</v>
      </c>
      <c r="D78" s="84" t="s">
        <v>165</v>
      </c>
      <c r="E78" s="79">
        <v>0</v>
      </c>
      <c r="F78" s="79">
        <v>0</v>
      </c>
      <c r="G78" s="79">
        <v>0</v>
      </c>
      <c r="H78" s="79">
        <v>0</v>
      </c>
      <c r="I78" s="79">
        <v>0</v>
      </c>
      <c r="J78" s="79">
        <v>0</v>
      </c>
      <c r="K78" s="79">
        <v>0</v>
      </c>
      <c r="L78" s="79">
        <v>0</v>
      </c>
      <c r="M78" s="79">
        <v>0</v>
      </c>
      <c r="N78" s="79">
        <v>0</v>
      </c>
      <c r="O78" s="79">
        <v>0</v>
      </c>
      <c r="P78" s="79">
        <v>0</v>
      </c>
      <c r="Q78" s="79">
        <v>0</v>
      </c>
      <c r="R78" s="79">
        <v>0</v>
      </c>
      <c r="S78" s="79">
        <v>0</v>
      </c>
      <c r="T78" s="79">
        <v>0</v>
      </c>
      <c r="U78" s="79">
        <v>0</v>
      </c>
      <c r="V78" s="79">
        <v>0</v>
      </c>
      <c r="W78" s="79">
        <v>0</v>
      </c>
      <c r="X78" s="79">
        <v>0</v>
      </c>
      <c r="Y78" s="79">
        <v>0</v>
      </c>
      <c r="Z78" s="79">
        <v>0</v>
      </c>
      <c r="AA78" s="79">
        <v>0</v>
      </c>
      <c r="AB78" s="79">
        <v>0</v>
      </c>
      <c r="AC78" s="79">
        <v>0</v>
      </c>
      <c r="AD78" s="79">
        <v>0</v>
      </c>
      <c r="AE78" s="79">
        <v>0</v>
      </c>
      <c r="AF78" s="79">
        <v>0</v>
      </c>
      <c r="AG78" s="79">
        <v>0</v>
      </c>
      <c r="AH78" s="79">
        <v>0</v>
      </c>
      <c r="AI78" s="79">
        <v>0</v>
      </c>
      <c r="AJ78" s="79">
        <v>0</v>
      </c>
      <c r="AK78" s="79">
        <v>0</v>
      </c>
      <c r="AL78" s="79">
        <v>0</v>
      </c>
      <c r="AM78" s="79">
        <v>0</v>
      </c>
      <c r="AN78" s="79">
        <v>0</v>
      </c>
      <c r="AO78" s="79">
        <v>0</v>
      </c>
      <c r="AP78" s="79">
        <v>0</v>
      </c>
      <c r="AQ78" s="79">
        <v>0</v>
      </c>
      <c r="AR78" s="79">
        <v>0</v>
      </c>
      <c r="AS78" s="79">
        <v>0</v>
      </c>
      <c r="AT78" s="79">
        <v>0</v>
      </c>
      <c r="AU78" s="79">
        <v>1</v>
      </c>
      <c r="AV78" s="79">
        <v>0</v>
      </c>
      <c r="AW78" s="79">
        <v>0</v>
      </c>
      <c r="AX78" s="79">
        <v>0</v>
      </c>
      <c r="AY78" s="79">
        <v>0</v>
      </c>
      <c r="AZ78" s="79">
        <v>0</v>
      </c>
      <c r="BA78" s="79">
        <v>0</v>
      </c>
      <c r="BB78" s="79">
        <v>0</v>
      </c>
      <c r="BC78" s="79">
        <v>0</v>
      </c>
      <c r="BD78" s="79">
        <v>0</v>
      </c>
      <c r="BE78" s="79">
        <v>0</v>
      </c>
      <c r="BF78" s="79">
        <v>0</v>
      </c>
      <c r="BG78" s="79">
        <v>0</v>
      </c>
      <c r="BH78" s="79">
        <v>0</v>
      </c>
      <c r="BI78" s="79">
        <v>0</v>
      </c>
      <c r="BJ78" s="79">
        <v>0</v>
      </c>
      <c r="BK78" s="79">
        <v>0</v>
      </c>
      <c r="BL78" s="79">
        <v>0</v>
      </c>
      <c r="BM78" s="79">
        <v>0</v>
      </c>
    </row>
    <row r="79" spans="1:65" x14ac:dyDescent="0.25">
      <c r="A79" s="60">
        <f t="shared" si="9"/>
        <v>0</v>
      </c>
      <c r="B79" s="58" t="str">
        <f>'TB Data'!B84</f>
        <v>8200</v>
      </c>
      <c r="C79" s="60">
        <f t="shared" si="8"/>
        <v>1</v>
      </c>
      <c r="D79" s="84" t="s">
        <v>124</v>
      </c>
      <c r="E79" s="79">
        <v>0</v>
      </c>
      <c r="F79" s="79">
        <v>0</v>
      </c>
      <c r="G79" s="79">
        <v>0</v>
      </c>
      <c r="H79" s="79">
        <v>0</v>
      </c>
      <c r="I79" s="79">
        <v>0</v>
      </c>
      <c r="J79" s="79">
        <v>0</v>
      </c>
      <c r="K79" s="79">
        <v>0</v>
      </c>
      <c r="L79" s="79">
        <v>0</v>
      </c>
      <c r="M79" s="79">
        <v>0</v>
      </c>
      <c r="N79" s="79">
        <v>0</v>
      </c>
      <c r="O79" s="79">
        <v>0</v>
      </c>
      <c r="P79" s="79">
        <v>0</v>
      </c>
      <c r="Q79" s="79">
        <v>0</v>
      </c>
      <c r="R79" s="79">
        <v>0</v>
      </c>
      <c r="S79" s="79">
        <v>0</v>
      </c>
      <c r="T79" s="79">
        <v>0</v>
      </c>
      <c r="U79" s="79">
        <v>0</v>
      </c>
      <c r="V79" s="79">
        <v>0</v>
      </c>
      <c r="W79" s="79">
        <v>0</v>
      </c>
      <c r="X79" s="79">
        <v>0</v>
      </c>
      <c r="Y79" s="79">
        <v>0</v>
      </c>
      <c r="Z79" s="79">
        <v>0</v>
      </c>
      <c r="AA79" s="79">
        <v>0</v>
      </c>
      <c r="AB79" s="79">
        <v>0</v>
      </c>
      <c r="AC79" s="79">
        <v>0</v>
      </c>
      <c r="AD79" s="79">
        <v>0</v>
      </c>
      <c r="AE79" s="79">
        <v>0</v>
      </c>
      <c r="AF79" s="79">
        <v>0</v>
      </c>
      <c r="AG79" s="79">
        <v>0</v>
      </c>
      <c r="AH79" s="79">
        <v>0</v>
      </c>
      <c r="AI79" s="79">
        <v>0</v>
      </c>
      <c r="AJ79" s="79">
        <v>0</v>
      </c>
      <c r="AK79" s="79">
        <v>0</v>
      </c>
      <c r="AL79" s="79">
        <v>0</v>
      </c>
      <c r="AM79" s="79">
        <v>0</v>
      </c>
      <c r="AN79" s="79">
        <v>0</v>
      </c>
      <c r="AO79" s="79">
        <v>0</v>
      </c>
      <c r="AP79" s="79">
        <v>0</v>
      </c>
      <c r="AQ79" s="79">
        <v>0</v>
      </c>
      <c r="AR79" s="79">
        <v>0</v>
      </c>
      <c r="AS79" s="79">
        <v>0</v>
      </c>
      <c r="AT79" s="79">
        <v>0</v>
      </c>
      <c r="AU79" s="79">
        <v>0</v>
      </c>
      <c r="AV79" s="79">
        <v>1</v>
      </c>
      <c r="AW79" s="79">
        <v>0</v>
      </c>
      <c r="AX79" s="79">
        <v>0</v>
      </c>
      <c r="AY79" s="79">
        <v>0</v>
      </c>
      <c r="AZ79" s="79">
        <v>0</v>
      </c>
      <c r="BA79" s="79">
        <v>0</v>
      </c>
      <c r="BB79" s="79">
        <v>0</v>
      </c>
      <c r="BC79" s="79">
        <v>0</v>
      </c>
      <c r="BD79" s="79">
        <v>0</v>
      </c>
      <c r="BE79" s="79">
        <v>0</v>
      </c>
      <c r="BF79" s="79">
        <v>0</v>
      </c>
      <c r="BG79" s="79">
        <v>0</v>
      </c>
      <c r="BH79" s="79">
        <v>0</v>
      </c>
      <c r="BI79" s="79">
        <v>0</v>
      </c>
      <c r="BJ79" s="79">
        <v>0</v>
      </c>
      <c r="BK79" s="79">
        <v>0</v>
      </c>
      <c r="BL79" s="79">
        <v>0</v>
      </c>
      <c r="BM79" s="79">
        <v>0</v>
      </c>
    </row>
    <row r="80" spans="1:65" s="79" customFormat="1" x14ac:dyDescent="0.25">
      <c r="A80" s="60">
        <f t="shared" si="9"/>
        <v>0</v>
      </c>
      <c r="B80" s="58" t="str">
        <f>'TB Data'!B85</f>
        <v>8201</v>
      </c>
      <c r="C80" s="60">
        <f t="shared" si="8"/>
        <v>1</v>
      </c>
      <c r="D80" s="84" t="s">
        <v>289</v>
      </c>
      <c r="E80" s="79">
        <v>0</v>
      </c>
      <c r="F80" s="79">
        <v>0</v>
      </c>
      <c r="G80" s="79">
        <v>0</v>
      </c>
      <c r="H80" s="79">
        <v>0</v>
      </c>
      <c r="I80" s="79">
        <v>0</v>
      </c>
      <c r="J80" s="79">
        <v>0</v>
      </c>
      <c r="K80" s="79">
        <v>0</v>
      </c>
      <c r="L80" s="79">
        <v>0</v>
      </c>
      <c r="M80" s="79">
        <v>0</v>
      </c>
      <c r="N80" s="79">
        <v>0</v>
      </c>
      <c r="O80" s="79">
        <v>0</v>
      </c>
      <c r="P80" s="79">
        <v>0</v>
      </c>
      <c r="Q80" s="79">
        <v>0</v>
      </c>
      <c r="R80" s="79">
        <v>0</v>
      </c>
      <c r="S80" s="79">
        <v>0</v>
      </c>
      <c r="T80" s="79">
        <v>0</v>
      </c>
      <c r="U80" s="79">
        <v>0</v>
      </c>
      <c r="V80" s="79">
        <v>0</v>
      </c>
      <c r="W80" s="79">
        <v>0</v>
      </c>
      <c r="X80" s="79">
        <v>0</v>
      </c>
      <c r="Y80" s="79">
        <v>0</v>
      </c>
      <c r="Z80" s="79">
        <v>0</v>
      </c>
      <c r="AA80" s="79">
        <v>0</v>
      </c>
      <c r="AB80" s="79">
        <v>0</v>
      </c>
      <c r="AC80" s="79">
        <v>0</v>
      </c>
      <c r="AD80" s="79">
        <v>0</v>
      </c>
      <c r="AE80" s="79">
        <v>0</v>
      </c>
      <c r="AF80" s="79">
        <v>0</v>
      </c>
      <c r="AG80" s="79">
        <v>0</v>
      </c>
      <c r="AH80" s="79">
        <v>0</v>
      </c>
      <c r="AI80" s="79">
        <v>0</v>
      </c>
      <c r="AJ80" s="79">
        <v>0</v>
      </c>
      <c r="AK80" s="79">
        <v>0</v>
      </c>
      <c r="AL80" s="79">
        <v>0</v>
      </c>
      <c r="AM80" s="79">
        <v>0</v>
      </c>
      <c r="AN80" s="79">
        <v>0</v>
      </c>
      <c r="AO80" s="79">
        <v>0</v>
      </c>
      <c r="AP80" s="79">
        <v>0</v>
      </c>
      <c r="AQ80" s="79">
        <v>0</v>
      </c>
      <c r="AR80" s="79">
        <v>0</v>
      </c>
      <c r="AS80" s="79">
        <v>0</v>
      </c>
      <c r="AT80" s="79">
        <v>0</v>
      </c>
      <c r="AU80" s="79">
        <v>0</v>
      </c>
      <c r="AV80" s="79">
        <v>0</v>
      </c>
      <c r="AW80" s="79">
        <v>1</v>
      </c>
      <c r="AX80" s="79">
        <v>0</v>
      </c>
      <c r="AY80" s="79">
        <v>0</v>
      </c>
      <c r="AZ80" s="79">
        <v>0</v>
      </c>
      <c r="BA80" s="79">
        <v>0</v>
      </c>
      <c r="BB80" s="79">
        <v>0</v>
      </c>
      <c r="BC80" s="79">
        <v>0</v>
      </c>
      <c r="BD80" s="79">
        <v>0</v>
      </c>
      <c r="BE80" s="79">
        <v>0</v>
      </c>
      <c r="BF80" s="79">
        <v>0</v>
      </c>
      <c r="BG80" s="79">
        <v>0</v>
      </c>
      <c r="BH80" s="79">
        <v>0</v>
      </c>
      <c r="BI80" s="79">
        <v>0</v>
      </c>
      <c r="BJ80" s="79">
        <v>0</v>
      </c>
      <c r="BK80" s="79">
        <v>0</v>
      </c>
      <c r="BL80" s="79">
        <v>0</v>
      </c>
      <c r="BM80" s="79">
        <v>0</v>
      </c>
    </row>
    <row r="81" spans="1:65" x14ac:dyDescent="0.25">
      <c r="A81" s="60">
        <f t="shared" si="9"/>
        <v>0</v>
      </c>
      <c r="B81" s="58" t="str">
        <f>'TB Data'!B86</f>
        <v>8204</v>
      </c>
      <c r="C81" s="60">
        <f t="shared" si="8"/>
        <v>1</v>
      </c>
      <c r="D81" s="84" t="s">
        <v>98</v>
      </c>
      <c r="E81" s="79">
        <v>0</v>
      </c>
      <c r="F81" s="79">
        <v>0</v>
      </c>
      <c r="G81" s="79">
        <v>0</v>
      </c>
      <c r="H81" s="79">
        <v>0</v>
      </c>
      <c r="I81" s="79">
        <v>0</v>
      </c>
      <c r="J81" s="79">
        <v>0</v>
      </c>
      <c r="K81" s="79">
        <v>0</v>
      </c>
      <c r="L81" s="79">
        <v>0</v>
      </c>
      <c r="M81" s="79">
        <v>0</v>
      </c>
      <c r="N81" s="79">
        <v>0</v>
      </c>
      <c r="O81" s="79">
        <v>0</v>
      </c>
      <c r="P81" s="79">
        <v>0</v>
      </c>
      <c r="Q81" s="79">
        <v>0</v>
      </c>
      <c r="R81" s="79">
        <v>0</v>
      </c>
      <c r="S81" s="79">
        <v>0</v>
      </c>
      <c r="T81" s="79">
        <v>0</v>
      </c>
      <c r="U81" s="79">
        <v>0</v>
      </c>
      <c r="V81" s="79">
        <v>0</v>
      </c>
      <c r="W81" s="79">
        <v>0</v>
      </c>
      <c r="X81" s="79">
        <v>0</v>
      </c>
      <c r="Y81" s="79">
        <v>0</v>
      </c>
      <c r="Z81" s="79">
        <v>0</v>
      </c>
      <c r="AA81" s="79">
        <v>0</v>
      </c>
      <c r="AB81" s="79">
        <v>0</v>
      </c>
      <c r="AC81" s="79">
        <v>0</v>
      </c>
      <c r="AD81" s="79">
        <v>0</v>
      </c>
      <c r="AE81" s="79">
        <v>0</v>
      </c>
      <c r="AF81" s="79">
        <v>0</v>
      </c>
      <c r="AG81" s="79">
        <v>0</v>
      </c>
      <c r="AH81" s="79">
        <v>0</v>
      </c>
      <c r="AI81" s="79">
        <v>0</v>
      </c>
      <c r="AJ81" s="79">
        <v>0</v>
      </c>
      <c r="AK81" s="79">
        <v>0</v>
      </c>
      <c r="AL81" s="79">
        <v>0</v>
      </c>
      <c r="AM81" s="79">
        <v>0</v>
      </c>
      <c r="AN81" s="79">
        <v>0</v>
      </c>
      <c r="AO81" s="79">
        <v>0</v>
      </c>
      <c r="AP81" s="79">
        <v>0</v>
      </c>
      <c r="AQ81" s="79">
        <v>0</v>
      </c>
      <c r="AR81" s="79">
        <v>0</v>
      </c>
      <c r="AS81" s="79">
        <v>0</v>
      </c>
      <c r="AT81" s="79">
        <v>0</v>
      </c>
      <c r="AU81" s="79">
        <v>0</v>
      </c>
      <c r="AV81" s="79">
        <v>0</v>
      </c>
      <c r="AW81" s="79">
        <v>0</v>
      </c>
      <c r="AX81" s="79">
        <v>1</v>
      </c>
      <c r="AY81" s="79">
        <v>0</v>
      </c>
      <c r="AZ81" s="79">
        <v>0</v>
      </c>
      <c r="BA81" s="79">
        <v>0</v>
      </c>
      <c r="BB81" s="79">
        <v>0</v>
      </c>
      <c r="BC81" s="79">
        <v>0</v>
      </c>
      <c r="BD81" s="79">
        <v>0</v>
      </c>
      <c r="BE81" s="79">
        <v>0</v>
      </c>
      <c r="BF81" s="79">
        <v>0</v>
      </c>
      <c r="BG81" s="79">
        <v>0</v>
      </c>
      <c r="BH81" s="79">
        <v>0</v>
      </c>
      <c r="BI81" s="79">
        <v>0</v>
      </c>
      <c r="BJ81" s="79">
        <v>0</v>
      </c>
      <c r="BK81" s="79">
        <v>0</v>
      </c>
      <c r="BL81" s="79">
        <v>0</v>
      </c>
      <c r="BM81" s="79">
        <v>0</v>
      </c>
    </row>
    <row r="82" spans="1:65" x14ac:dyDescent="0.25">
      <c r="A82" s="60">
        <f t="shared" si="9"/>
        <v>0</v>
      </c>
      <c r="B82" s="58" t="str">
        <f>'TB Data'!B87</f>
        <v>8300</v>
      </c>
      <c r="C82" s="60">
        <f t="shared" si="8"/>
        <v>1</v>
      </c>
      <c r="D82" s="84" t="s">
        <v>123</v>
      </c>
      <c r="E82" s="79">
        <v>0</v>
      </c>
      <c r="F82" s="79">
        <v>0</v>
      </c>
      <c r="G82" s="79">
        <v>0</v>
      </c>
      <c r="H82" s="79">
        <v>0</v>
      </c>
      <c r="I82" s="79">
        <v>0</v>
      </c>
      <c r="J82" s="79">
        <v>0</v>
      </c>
      <c r="K82" s="79">
        <v>0</v>
      </c>
      <c r="L82" s="79">
        <v>0</v>
      </c>
      <c r="M82" s="79">
        <v>0</v>
      </c>
      <c r="N82" s="79">
        <v>0</v>
      </c>
      <c r="O82" s="79">
        <v>0</v>
      </c>
      <c r="P82" s="79">
        <v>0</v>
      </c>
      <c r="Q82" s="79">
        <v>0</v>
      </c>
      <c r="R82" s="79">
        <v>0</v>
      </c>
      <c r="S82" s="79">
        <v>0</v>
      </c>
      <c r="T82" s="79">
        <v>0</v>
      </c>
      <c r="U82" s="79">
        <v>0</v>
      </c>
      <c r="V82" s="79">
        <v>0</v>
      </c>
      <c r="W82" s="79">
        <v>0</v>
      </c>
      <c r="X82" s="79">
        <v>0</v>
      </c>
      <c r="Y82" s="79">
        <v>0</v>
      </c>
      <c r="Z82" s="79">
        <v>0</v>
      </c>
      <c r="AA82" s="79">
        <v>0</v>
      </c>
      <c r="AB82" s="79">
        <v>0</v>
      </c>
      <c r="AC82" s="79">
        <v>0</v>
      </c>
      <c r="AD82" s="79">
        <v>0</v>
      </c>
      <c r="AE82" s="79">
        <v>0</v>
      </c>
      <c r="AF82" s="79">
        <v>0</v>
      </c>
      <c r="AG82" s="79">
        <v>0</v>
      </c>
      <c r="AH82" s="79">
        <v>0</v>
      </c>
      <c r="AI82" s="79">
        <v>0</v>
      </c>
      <c r="AJ82" s="79">
        <v>0</v>
      </c>
      <c r="AK82" s="79">
        <v>0</v>
      </c>
      <c r="AL82" s="79">
        <v>0</v>
      </c>
      <c r="AM82" s="79">
        <v>0</v>
      </c>
      <c r="AN82" s="79">
        <v>0</v>
      </c>
      <c r="AO82" s="79">
        <v>0</v>
      </c>
      <c r="AP82" s="79">
        <v>0</v>
      </c>
      <c r="AQ82" s="79">
        <v>0</v>
      </c>
      <c r="AR82" s="79">
        <v>0</v>
      </c>
      <c r="AS82" s="79">
        <v>0</v>
      </c>
      <c r="AT82" s="79">
        <v>0</v>
      </c>
      <c r="AU82" s="79">
        <v>0</v>
      </c>
      <c r="AV82" s="79">
        <v>0</v>
      </c>
      <c r="AW82" s="79">
        <v>0</v>
      </c>
      <c r="AX82" s="79">
        <v>0</v>
      </c>
      <c r="AY82" s="79">
        <v>1</v>
      </c>
      <c r="AZ82" s="79">
        <v>0</v>
      </c>
      <c r="BA82" s="79">
        <v>0</v>
      </c>
      <c r="BB82" s="79">
        <v>0</v>
      </c>
      <c r="BC82" s="79">
        <v>0</v>
      </c>
      <c r="BD82" s="79">
        <v>0</v>
      </c>
      <c r="BE82" s="79">
        <v>0</v>
      </c>
      <c r="BF82" s="79">
        <v>0</v>
      </c>
      <c r="BG82" s="79">
        <v>0</v>
      </c>
      <c r="BH82" s="79">
        <v>0</v>
      </c>
      <c r="BI82" s="79">
        <v>0</v>
      </c>
      <c r="BJ82" s="79">
        <v>0</v>
      </c>
      <c r="BK82" s="79">
        <v>0</v>
      </c>
      <c r="BL82" s="79">
        <v>0</v>
      </c>
      <c r="BM82" s="79">
        <v>0</v>
      </c>
    </row>
    <row r="83" spans="1:65" x14ac:dyDescent="0.25">
      <c r="A83" s="60">
        <f t="shared" si="9"/>
        <v>0</v>
      </c>
      <c r="B83" s="58" t="str">
        <f>'TB Data'!B88</f>
        <v>8301</v>
      </c>
      <c r="C83" s="60">
        <f t="shared" si="8"/>
        <v>1</v>
      </c>
      <c r="D83" s="84" t="s">
        <v>235</v>
      </c>
      <c r="E83" s="79">
        <v>0</v>
      </c>
      <c r="F83" s="79">
        <v>0</v>
      </c>
      <c r="G83" s="79">
        <v>0</v>
      </c>
      <c r="H83" s="79">
        <v>0</v>
      </c>
      <c r="I83" s="79">
        <v>0</v>
      </c>
      <c r="J83" s="79">
        <v>0</v>
      </c>
      <c r="K83" s="79">
        <v>0</v>
      </c>
      <c r="L83" s="79">
        <v>0</v>
      </c>
      <c r="M83" s="79">
        <v>0</v>
      </c>
      <c r="N83" s="79">
        <v>0</v>
      </c>
      <c r="O83" s="79">
        <v>0</v>
      </c>
      <c r="P83" s="79">
        <v>0</v>
      </c>
      <c r="Q83" s="79">
        <v>0</v>
      </c>
      <c r="R83" s="79">
        <v>0</v>
      </c>
      <c r="S83" s="79">
        <v>0</v>
      </c>
      <c r="T83" s="79">
        <v>0</v>
      </c>
      <c r="U83" s="79">
        <v>0</v>
      </c>
      <c r="V83" s="79">
        <v>0</v>
      </c>
      <c r="W83" s="79">
        <v>0</v>
      </c>
      <c r="X83" s="79">
        <v>0</v>
      </c>
      <c r="Y83" s="79">
        <v>0</v>
      </c>
      <c r="Z83" s="79">
        <v>0</v>
      </c>
      <c r="AA83" s="79">
        <v>0</v>
      </c>
      <c r="AB83" s="79">
        <v>0</v>
      </c>
      <c r="AC83" s="79">
        <v>0</v>
      </c>
      <c r="AD83" s="79">
        <v>0</v>
      </c>
      <c r="AE83" s="79">
        <v>0</v>
      </c>
      <c r="AF83" s="79">
        <v>0</v>
      </c>
      <c r="AG83" s="79">
        <v>0</v>
      </c>
      <c r="AH83" s="79">
        <v>0</v>
      </c>
      <c r="AI83" s="79">
        <v>0</v>
      </c>
      <c r="AJ83" s="79">
        <v>0</v>
      </c>
      <c r="AK83" s="79">
        <v>0</v>
      </c>
      <c r="AL83" s="79">
        <v>0</v>
      </c>
      <c r="AM83" s="79">
        <v>0</v>
      </c>
      <c r="AN83" s="79">
        <v>0</v>
      </c>
      <c r="AO83" s="79">
        <v>0</v>
      </c>
      <c r="AP83" s="79">
        <v>0</v>
      </c>
      <c r="AQ83" s="79">
        <v>0</v>
      </c>
      <c r="AR83" s="79">
        <v>0</v>
      </c>
      <c r="AS83" s="79">
        <v>0</v>
      </c>
      <c r="AT83" s="79">
        <v>0</v>
      </c>
      <c r="AU83" s="79">
        <v>0</v>
      </c>
      <c r="AV83" s="79">
        <v>0</v>
      </c>
      <c r="AW83" s="79">
        <v>0</v>
      </c>
      <c r="AX83" s="79">
        <v>0</v>
      </c>
      <c r="AY83" s="79">
        <v>0</v>
      </c>
      <c r="AZ83" s="79">
        <v>0</v>
      </c>
      <c r="BA83" s="79">
        <v>0</v>
      </c>
      <c r="BB83" s="79">
        <v>0</v>
      </c>
      <c r="BC83" s="79">
        <v>1</v>
      </c>
      <c r="BD83" s="79">
        <v>0</v>
      </c>
      <c r="BE83" s="79">
        <v>0</v>
      </c>
      <c r="BF83" s="79">
        <v>0</v>
      </c>
      <c r="BG83" s="79">
        <v>0</v>
      </c>
      <c r="BH83" s="79">
        <v>0</v>
      </c>
      <c r="BI83" s="79">
        <v>0</v>
      </c>
      <c r="BJ83" s="79">
        <v>0</v>
      </c>
      <c r="BK83" s="79">
        <v>0</v>
      </c>
      <c r="BL83" s="79">
        <v>0</v>
      </c>
      <c r="BM83" s="79">
        <v>0</v>
      </c>
    </row>
    <row r="84" spans="1:65" x14ac:dyDescent="0.25">
      <c r="A84" s="60">
        <f t="shared" si="9"/>
        <v>0</v>
      </c>
      <c r="B84" s="58" t="str">
        <f>'TB Data'!B89</f>
        <v>8310</v>
      </c>
      <c r="C84" s="60">
        <f t="shared" si="8"/>
        <v>1</v>
      </c>
      <c r="D84" s="84" t="s">
        <v>290</v>
      </c>
      <c r="E84" s="79">
        <v>0</v>
      </c>
      <c r="F84" s="79">
        <v>0</v>
      </c>
      <c r="G84" s="79">
        <v>0</v>
      </c>
      <c r="H84" s="79">
        <v>0</v>
      </c>
      <c r="I84" s="79">
        <v>0</v>
      </c>
      <c r="J84" s="79">
        <v>0</v>
      </c>
      <c r="K84" s="79">
        <v>0</v>
      </c>
      <c r="L84" s="79">
        <v>0</v>
      </c>
      <c r="M84" s="79">
        <v>0</v>
      </c>
      <c r="N84" s="79">
        <v>0</v>
      </c>
      <c r="O84" s="79">
        <v>0</v>
      </c>
      <c r="P84" s="79">
        <v>0</v>
      </c>
      <c r="Q84" s="79">
        <v>0</v>
      </c>
      <c r="R84" s="79">
        <v>0</v>
      </c>
      <c r="S84" s="79">
        <v>0</v>
      </c>
      <c r="T84" s="79">
        <v>0</v>
      </c>
      <c r="U84" s="79">
        <v>0</v>
      </c>
      <c r="V84" s="79">
        <v>0</v>
      </c>
      <c r="W84" s="79">
        <v>0</v>
      </c>
      <c r="X84" s="79">
        <v>0</v>
      </c>
      <c r="Y84" s="79">
        <v>0</v>
      </c>
      <c r="Z84" s="79">
        <v>0</v>
      </c>
      <c r="AA84" s="79">
        <v>0</v>
      </c>
      <c r="AB84" s="79">
        <v>0</v>
      </c>
      <c r="AC84" s="79">
        <v>0</v>
      </c>
      <c r="AD84" s="79">
        <v>0</v>
      </c>
      <c r="AE84" s="79">
        <v>0</v>
      </c>
      <c r="AF84" s="79">
        <v>0</v>
      </c>
      <c r="AG84" s="79">
        <v>0</v>
      </c>
      <c r="AH84" s="79">
        <v>0</v>
      </c>
      <c r="AI84" s="79">
        <v>0</v>
      </c>
      <c r="AJ84" s="79">
        <v>0</v>
      </c>
      <c r="AK84" s="79">
        <v>0</v>
      </c>
      <c r="AL84" s="79">
        <v>0</v>
      </c>
      <c r="AM84" s="79">
        <v>0</v>
      </c>
      <c r="AN84" s="79">
        <v>0</v>
      </c>
      <c r="AO84" s="79">
        <v>0</v>
      </c>
      <c r="AP84" s="79">
        <v>0</v>
      </c>
      <c r="AQ84" s="79">
        <v>0</v>
      </c>
      <c r="AR84" s="79">
        <v>0</v>
      </c>
      <c r="AS84" s="79">
        <v>0</v>
      </c>
      <c r="AT84" s="79">
        <v>0</v>
      </c>
      <c r="AU84" s="79">
        <v>0</v>
      </c>
      <c r="AV84" s="79">
        <v>0</v>
      </c>
      <c r="AW84" s="79">
        <v>0</v>
      </c>
      <c r="AX84" s="79">
        <v>0</v>
      </c>
      <c r="AY84" s="79">
        <v>0</v>
      </c>
      <c r="AZ84" s="79">
        <v>1</v>
      </c>
      <c r="BA84" s="79">
        <v>0</v>
      </c>
      <c r="BB84" s="79">
        <v>0</v>
      </c>
      <c r="BC84" s="79">
        <v>0</v>
      </c>
      <c r="BD84" s="79">
        <v>0</v>
      </c>
      <c r="BE84" s="79">
        <v>0</v>
      </c>
      <c r="BF84" s="79">
        <v>0</v>
      </c>
      <c r="BG84" s="79">
        <v>0</v>
      </c>
      <c r="BH84" s="79">
        <v>0</v>
      </c>
      <c r="BI84" s="79">
        <v>0</v>
      </c>
      <c r="BJ84" s="79">
        <v>0</v>
      </c>
      <c r="BK84" s="79">
        <v>0</v>
      </c>
      <c r="BL84" s="79">
        <v>0</v>
      </c>
      <c r="BM84" s="79">
        <v>0</v>
      </c>
    </row>
    <row r="85" spans="1:65" x14ac:dyDescent="0.25">
      <c r="A85" s="60">
        <f t="shared" si="9"/>
        <v>0</v>
      </c>
      <c r="B85" s="58" t="str">
        <f>'TB Data'!B90</f>
        <v>8400</v>
      </c>
      <c r="C85" s="60">
        <f t="shared" si="8"/>
        <v>1</v>
      </c>
      <c r="D85" s="84" t="s">
        <v>122</v>
      </c>
      <c r="E85" s="79">
        <v>0</v>
      </c>
      <c r="F85" s="79">
        <v>0</v>
      </c>
      <c r="G85" s="79">
        <v>0</v>
      </c>
      <c r="H85" s="79">
        <v>0</v>
      </c>
      <c r="I85" s="79">
        <v>0</v>
      </c>
      <c r="J85" s="79">
        <v>0</v>
      </c>
      <c r="K85" s="79">
        <v>0</v>
      </c>
      <c r="L85" s="79">
        <v>0</v>
      </c>
      <c r="M85" s="79">
        <v>0</v>
      </c>
      <c r="N85" s="79">
        <v>0</v>
      </c>
      <c r="O85" s="79">
        <v>0</v>
      </c>
      <c r="P85" s="79">
        <v>0</v>
      </c>
      <c r="Q85" s="79">
        <v>0</v>
      </c>
      <c r="R85" s="79">
        <v>0</v>
      </c>
      <c r="S85" s="79">
        <v>0</v>
      </c>
      <c r="T85" s="79">
        <v>0</v>
      </c>
      <c r="U85" s="79">
        <v>0</v>
      </c>
      <c r="V85" s="79">
        <v>0</v>
      </c>
      <c r="W85" s="79">
        <v>0</v>
      </c>
      <c r="X85" s="79">
        <v>0</v>
      </c>
      <c r="Y85" s="79">
        <v>0</v>
      </c>
      <c r="Z85" s="79">
        <v>0</v>
      </c>
      <c r="AA85" s="79">
        <v>0</v>
      </c>
      <c r="AB85" s="79">
        <v>0</v>
      </c>
      <c r="AC85" s="79">
        <v>0</v>
      </c>
      <c r="AD85" s="79">
        <v>0</v>
      </c>
      <c r="AE85" s="79">
        <v>0</v>
      </c>
      <c r="AF85" s="79">
        <v>0</v>
      </c>
      <c r="AG85" s="79">
        <v>0</v>
      </c>
      <c r="AH85" s="79">
        <v>0</v>
      </c>
      <c r="AI85" s="79">
        <v>0</v>
      </c>
      <c r="AJ85" s="79">
        <v>0</v>
      </c>
      <c r="AK85" s="79">
        <v>0</v>
      </c>
      <c r="AL85" s="79">
        <v>0</v>
      </c>
      <c r="AM85" s="79">
        <v>0</v>
      </c>
      <c r="AN85" s="79">
        <v>0</v>
      </c>
      <c r="AO85" s="79">
        <v>0</v>
      </c>
      <c r="AP85" s="79">
        <v>0</v>
      </c>
      <c r="AQ85" s="79">
        <v>0</v>
      </c>
      <c r="AR85" s="79">
        <v>0</v>
      </c>
      <c r="AS85" s="79">
        <v>0</v>
      </c>
      <c r="AT85" s="79">
        <v>0</v>
      </c>
      <c r="AU85" s="79">
        <v>0</v>
      </c>
      <c r="AV85" s="79">
        <v>0</v>
      </c>
      <c r="AW85" s="79">
        <v>0</v>
      </c>
      <c r="AX85" s="79">
        <v>0</v>
      </c>
      <c r="AY85" s="79">
        <v>0</v>
      </c>
      <c r="AZ85" s="79">
        <v>0</v>
      </c>
      <c r="BA85" s="79">
        <v>1</v>
      </c>
      <c r="BB85" s="79">
        <v>0</v>
      </c>
      <c r="BC85" s="79">
        <v>0</v>
      </c>
      <c r="BD85" s="79">
        <v>0</v>
      </c>
      <c r="BE85" s="79">
        <v>0</v>
      </c>
      <c r="BF85" s="79">
        <v>0</v>
      </c>
      <c r="BG85" s="79">
        <v>0</v>
      </c>
      <c r="BH85" s="79">
        <v>0</v>
      </c>
      <c r="BI85" s="79">
        <v>0</v>
      </c>
      <c r="BJ85" s="79">
        <v>0</v>
      </c>
      <c r="BK85" s="79">
        <v>0</v>
      </c>
      <c r="BL85" s="79">
        <v>0</v>
      </c>
      <c r="BM85" s="79">
        <v>0</v>
      </c>
    </row>
    <row r="86" spans="1:65" x14ac:dyDescent="0.25">
      <c r="A86" s="60">
        <f t="shared" si="9"/>
        <v>0</v>
      </c>
      <c r="B86" s="58" t="str">
        <f>'TB Data'!B91</f>
        <v>8402</v>
      </c>
      <c r="C86" s="60">
        <f t="shared" si="8"/>
        <v>1</v>
      </c>
      <c r="D86" s="84" t="s">
        <v>97</v>
      </c>
      <c r="E86" s="79">
        <v>0</v>
      </c>
      <c r="F86" s="79">
        <v>0</v>
      </c>
      <c r="G86" s="79">
        <v>0</v>
      </c>
      <c r="H86" s="79">
        <v>0</v>
      </c>
      <c r="I86" s="79">
        <v>0</v>
      </c>
      <c r="J86" s="79">
        <v>0</v>
      </c>
      <c r="K86" s="79">
        <v>0</v>
      </c>
      <c r="L86" s="79">
        <v>0</v>
      </c>
      <c r="M86" s="79">
        <v>0</v>
      </c>
      <c r="N86" s="79">
        <v>0</v>
      </c>
      <c r="O86" s="79">
        <v>0</v>
      </c>
      <c r="P86" s="79">
        <v>0</v>
      </c>
      <c r="Q86" s="79">
        <v>0</v>
      </c>
      <c r="R86" s="79">
        <v>0</v>
      </c>
      <c r="S86" s="79">
        <v>0</v>
      </c>
      <c r="T86" s="79">
        <v>0</v>
      </c>
      <c r="U86" s="79">
        <v>0</v>
      </c>
      <c r="V86" s="79">
        <v>0</v>
      </c>
      <c r="W86" s="79">
        <v>0</v>
      </c>
      <c r="X86" s="79">
        <v>0</v>
      </c>
      <c r="Y86" s="79">
        <v>0</v>
      </c>
      <c r="Z86" s="79">
        <v>0</v>
      </c>
      <c r="AA86" s="79">
        <v>0</v>
      </c>
      <c r="AB86" s="79">
        <v>0</v>
      </c>
      <c r="AC86" s="79">
        <v>0</v>
      </c>
      <c r="AD86" s="79">
        <v>0</v>
      </c>
      <c r="AE86" s="79">
        <v>0</v>
      </c>
      <c r="AF86" s="79">
        <v>0</v>
      </c>
      <c r="AG86" s="79">
        <v>0</v>
      </c>
      <c r="AH86" s="79">
        <v>0</v>
      </c>
      <c r="AI86" s="79">
        <v>0</v>
      </c>
      <c r="AJ86" s="79">
        <v>0</v>
      </c>
      <c r="AK86" s="79">
        <v>0</v>
      </c>
      <c r="AL86" s="79">
        <v>0</v>
      </c>
      <c r="AM86" s="79">
        <v>0</v>
      </c>
      <c r="AN86" s="79">
        <v>0</v>
      </c>
      <c r="AO86" s="79">
        <v>0</v>
      </c>
      <c r="AP86" s="79">
        <v>0</v>
      </c>
      <c r="AQ86" s="79">
        <v>0</v>
      </c>
      <c r="AR86" s="79">
        <v>0</v>
      </c>
      <c r="AS86" s="79">
        <v>0</v>
      </c>
      <c r="AT86" s="79">
        <v>0</v>
      </c>
      <c r="AU86" s="79">
        <v>0</v>
      </c>
      <c r="AV86" s="79">
        <v>0</v>
      </c>
      <c r="AW86" s="79">
        <v>0</v>
      </c>
      <c r="AX86" s="79">
        <v>0</v>
      </c>
      <c r="AY86" s="79">
        <v>0</v>
      </c>
      <c r="AZ86" s="79">
        <v>0</v>
      </c>
      <c r="BA86" s="79">
        <v>0</v>
      </c>
      <c r="BB86" s="79">
        <v>1</v>
      </c>
      <c r="BC86" s="79">
        <v>0</v>
      </c>
      <c r="BD86" s="79">
        <v>0</v>
      </c>
      <c r="BE86" s="79">
        <v>0</v>
      </c>
      <c r="BF86" s="79">
        <v>0</v>
      </c>
      <c r="BG86" s="79">
        <v>0</v>
      </c>
      <c r="BH86" s="79">
        <v>0</v>
      </c>
      <c r="BI86" s="79">
        <v>0</v>
      </c>
      <c r="BJ86" s="79">
        <v>0</v>
      </c>
      <c r="BK86" s="79">
        <v>0</v>
      </c>
      <c r="BL86" s="79">
        <v>0</v>
      </c>
      <c r="BM86" s="79">
        <v>0</v>
      </c>
    </row>
    <row r="87" spans="1:65" x14ac:dyDescent="0.25">
      <c r="A87" s="60">
        <f t="shared" si="9"/>
        <v>0</v>
      </c>
      <c r="B87" s="58" t="str">
        <f>'TB Data'!B92</f>
        <v>8405</v>
      </c>
      <c r="C87" s="60">
        <f t="shared" si="8"/>
        <v>1</v>
      </c>
      <c r="D87" s="84" t="s">
        <v>96</v>
      </c>
      <c r="E87" s="79">
        <v>0</v>
      </c>
      <c r="F87" s="79">
        <v>0</v>
      </c>
      <c r="G87" s="79">
        <v>0</v>
      </c>
      <c r="H87" s="79">
        <v>0</v>
      </c>
      <c r="I87" s="79">
        <v>0</v>
      </c>
      <c r="J87" s="79">
        <v>0</v>
      </c>
      <c r="K87" s="79">
        <v>0</v>
      </c>
      <c r="L87" s="79">
        <v>0</v>
      </c>
      <c r="M87" s="79">
        <v>0</v>
      </c>
      <c r="N87" s="79">
        <v>0</v>
      </c>
      <c r="O87" s="79">
        <v>0</v>
      </c>
      <c r="P87" s="79">
        <v>0</v>
      </c>
      <c r="Q87" s="79">
        <v>0</v>
      </c>
      <c r="R87" s="79">
        <v>0</v>
      </c>
      <c r="S87" s="79">
        <v>0</v>
      </c>
      <c r="T87" s="79">
        <v>0</v>
      </c>
      <c r="U87" s="79">
        <v>0</v>
      </c>
      <c r="V87" s="79">
        <v>0</v>
      </c>
      <c r="W87" s="79">
        <v>0</v>
      </c>
      <c r="X87" s="79">
        <v>0</v>
      </c>
      <c r="Y87" s="79">
        <v>0</v>
      </c>
      <c r="Z87" s="79">
        <v>0</v>
      </c>
      <c r="AA87" s="79">
        <v>0</v>
      </c>
      <c r="AB87" s="79">
        <v>0</v>
      </c>
      <c r="AC87" s="79">
        <v>0</v>
      </c>
      <c r="AD87" s="79">
        <v>0</v>
      </c>
      <c r="AE87" s="79">
        <v>0</v>
      </c>
      <c r="AF87" s="79">
        <v>0</v>
      </c>
      <c r="AG87" s="79">
        <v>0</v>
      </c>
      <c r="AH87" s="79">
        <v>0</v>
      </c>
      <c r="AI87" s="79">
        <v>0</v>
      </c>
      <c r="AJ87" s="79">
        <v>0</v>
      </c>
      <c r="AK87" s="79">
        <v>0</v>
      </c>
      <c r="AL87" s="79">
        <v>0</v>
      </c>
      <c r="AM87" s="79">
        <v>0</v>
      </c>
      <c r="AN87" s="79">
        <v>0</v>
      </c>
      <c r="AO87" s="79">
        <v>0</v>
      </c>
      <c r="AP87" s="79">
        <v>0</v>
      </c>
      <c r="AQ87" s="79">
        <v>0</v>
      </c>
      <c r="AR87" s="79">
        <v>0</v>
      </c>
      <c r="AS87" s="79">
        <v>0</v>
      </c>
      <c r="AT87" s="79">
        <v>0</v>
      </c>
      <c r="AU87" s="79">
        <v>0</v>
      </c>
      <c r="AV87" s="79">
        <v>0</v>
      </c>
      <c r="AW87" s="79">
        <v>0</v>
      </c>
      <c r="AX87" s="79">
        <v>0</v>
      </c>
      <c r="AY87" s="79">
        <v>0</v>
      </c>
      <c r="AZ87" s="79">
        <v>0</v>
      </c>
      <c r="BA87" s="79">
        <v>0</v>
      </c>
      <c r="BB87" s="79">
        <v>0</v>
      </c>
      <c r="BC87" s="79">
        <v>1</v>
      </c>
      <c r="BD87" s="79">
        <v>0</v>
      </c>
      <c r="BE87" s="79">
        <v>0</v>
      </c>
      <c r="BF87" s="79">
        <v>0</v>
      </c>
      <c r="BG87" s="79">
        <v>0</v>
      </c>
      <c r="BH87" s="79">
        <v>0</v>
      </c>
      <c r="BI87" s="79">
        <v>0</v>
      </c>
      <c r="BJ87" s="79">
        <v>0</v>
      </c>
      <c r="BK87" s="79">
        <v>0</v>
      </c>
      <c r="BL87" s="79">
        <v>0</v>
      </c>
      <c r="BM87" s="79">
        <v>0</v>
      </c>
    </row>
    <row r="88" spans="1:65" x14ac:dyDescent="0.25">
      <c r="A88" s="60">
        <f t="shared" si="9"/>
        <v>0</v>
      </c>
      <c r="B88" s="58" t="str">
        <f>'TB Data'!B93</f>
        <v>8408</v>
      </c>
      <c r="C88" s="60">
        <f t="shared" si="8"/>
        <v>1</v>
      </c>
      <c r="D88" s="84" t="s">
        <v>95</v>
      </c>
      <c r="E88" s="79">
        <v>0</v>
      </c>
      <c r="F88" s="79">
        <v>0</v>
      </c>
      <c r="G88" s="79">
        <v>0</v>
      </c>
      <c r="H88" s="79">
        <v>0</v>
      </c>
      <c r="I88" s="79">
        <v>0</v>
      </c>
      <c r="J88" s="79">
        <v>0</v>
      </c>
      <c r="K88" s="79">
        <v>0</v>
      </c>
      <c r="L88" s="79">
        <v>0</v>
      </c>
      <c r="M88" s="79">
        <v>0</v>
      </c>
      <c r="N88" s="79">
        <v>0</v>
      </c>
      <c r="O88" s="79">
        <v>0</v>
      </c>
      <c r="P88" s="79">
        <v>0</v>
      </c>
      <c r="Q88" s="79">
        <v>0</v>
      </c>
      <c r="R88" s="79">
        <v>0</v>
      </c>
      <c r="S88" s="79">
        <v>0</v>
      </c>
      <c r="T88" s="79">
        <v>0</v>
      </c>
      <c r="U88" s="79">
        <v>0</v>
      </c>
      <c r="V88" s="79">
        <v>0</v>
      </c>
      <c r="W88" s="79">
        <v>0</v>
      </c>
      <c r="X88" s="79">
        <v>0</v>
      </c>
      <c r="Y88" s="79">
        <v>0</v>
      </c>
      <c r="Z88" s="79">
        <v>0</v>
      </c>
      <c r="AA88" s="79">
        <v>0</v>
      </c>
      <c r="AB88" s="79">
        <v>0</v>
      </c>
      <c r="AC88" s="79">
        <v>0</v>
      </c>
      <c r="AD88" s="79">
        <v>0</v>
      </c>
      <c r="AE88" s="79">
        <v>0</v>
      </c>
      <c r="AF88" s="79">
        <v>0</v>
      </c>
      <c r="AG88" s="79">
        <v>0</v>
      </c>
      <c r="AH88" s="79">
        <v>0</v>
      </c>
      <c r="AI88" s="79">
        <v>0</v>
      </c>
      <c r="AJ88" s="79">
        <v>0</v>
      </c>
      <c r="AK88" s="79">
        <v>0</v>
      </c>
      <c r="AL88" s="79">
        <v>0</v>
      </c>
      <c r="AM88" s="79">
        <v>0</v>
      </c>
      <c r="AN88" s="79">
        <v>0</v>
      </c>
      <c r="AO88" s="79">
        <v>0</v>
      </c>
      <c r="AP88" s="79">
        <v>0</v>
      </c>
      <c r="AQ88" s="79">
        <v>0</v>
      </c>
      <c r="AR88" s="79">
        <v>0</v>
      </c>
      <c r="AS88" s="79">
        <v>0</v>
      </c>
      <c r="AT88" s="79">
        <v>0</v>
      </c>
      <c r="AU88" s="79">
        <v>0</v>
      </c>
      <c r="AV88" s="79">
        <v>0</v>
      </c>
      <c r="AW88" s="79">
        <v>0</v>
      </c>
      <c r="AX88" s="79">
        <v>0</v>
      </c>
      <c r="AY88" s="79">
        <v>0</v>
      </c>
      <c r="AZ88" s="79">
        <v>0</v>
      </c>
      <c r="BA88" s="79">
        <v>0</v>
      </c>
      <c r="BB88" s="79">
        <v>0</v>
      </c>
      <c r="BC88" s="79">
        <v>0</v>
      </c>
      <c r="BD88" s="79">
        <v>1</v>
      </c>
      <c r="BE88" s="79">
        <v>0</v>
      </c>
      <c r="BF88" s="79">
        <v>0</v>
      </c>
      <c r="BG88" s="79">
        <v>0</v>
      </c>
      <c r="BH88" s="79">
        <v>0</v>
      </c>
      <c r="BI88" s="79">
        <v>0</v>
      </c>
      <c r="BJ88" s="79">
        <v>0</v>
      </c>
      <c r="BK88" s="79">
        <v>0</v>
      </c>
      <c r="BL88" s="79">
        <v>0</v>
      </c>
      <c r="BM88" s="79">
        <v>0</v>
      </c>
    </row>
    <row r="89" spans="1:65" x14ac:dyDescent="0.25">
      <c r="A89" s="60">
        <f t="shared" si="9"/>
        <v>0</v>
      </c>
      <c r="B89" s="58" t="str">
        <f>'TB Data'!B94</f>
        <v>8410</v>
      </c>
      <c r="C89" s="60">
        <f t="shared" si="8"/>
        <v>1</v>
      </c>
      <c r="D89" s="84" t="s">
        <v>121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79">
        <v>0</v>
      </c>
      <c r="K89" s="79">
        <v>0</v>
      </c>
      <c r="L89" s="79">
        <v>0</v>
      </c>
      <c r="M89" s="79">
        <v>0</v>
      </c>
      <c r="N89" s="79">
        <v>0</v>
      </c>
      <c r="O89" s="79">
        <v>0</v>
      </c>
      <c r="P89" s="79">
        <v>0</v>
      </c>
      <c r="Q89" s="79">
        <v>0</v>
      </c>
      <c r="R89" s="79">
        <v>0</v>
      </c>
      <c r="S89" s="79">
        <v>0</v>
      </c>
      <c r="T89" s="79">
        <v>0</v>
      </c>
      <c r="U89" s="79">
        <v>0</v>
      </c>
      <c r="V89" s="79">
        <v>0</v>
      </c>
      <c r="W89" s="79">
        <v>0</v>
      </c>
      <c r="X89" s="79">
        <v>0</v>
      </c>
      <c r="Y89" s="79">
        <v>0</v>
      </c>
      <c r="Z89" s="79">
        <v>0</v>
      </c>
      <c r="AA89" s="79">
        <v>0</v>
      </c>
      <c r="AB89" s="79">
        <v>0</v>
      </c>
      <c r="AC89" s="79">
        <v>0</v>
      </c>
      <c r="AD89" s="79">
        <v>0</v>
      </c>
      <c r="AE89" s="79">
        <v>0</v>
      </c>
      <c r="AF89" s="79">
        <v>0</v>
      </c>
      <c r="AG89" s="79">
        <v>0</v>
      </c>
      <c r="AH89" s="79">
        <v>0</v>
      </c>
      <c r="AI89" s="79">
        <v>0</v>
      </c>
      <c r="AJ89" s="79">
        <v>0</v>
      </c>
      <c r="AK89" s="79">
        <v>0</v>
      </c>
      <c r="AL89" s="79">
        <v>0</v>
      </c>
      <c r="AM89" s="79">
        <v>0</v>
      </c>
      <c r="AN89" s="79">
        <v>0</v>
      </c>
      <c r="AO89" s="79">
        <v>0</v>
      </c>
      <c r="AP89" s="79">
        <v>0</v>
      </c>
      <c r="AQ89" s="79">
        <v>0</v>
      </c>
      <c r="AR89" s="79">
        <v>0</v>
      </c>
      <c r="AS89" s="79">
        <v>0</v>
      </c>
      <c r="AT89" s="79">
        <v>0</v>
      </c>
      <c r="AU89" s="79">
        <v>0</v>
      </c>
      <c r="AV89" s="79">
        <v>0</v>
      </c>
      <c r="AW89" s="79">
        <v>0</v>
      </c>
      <c r="AX89" s="79">
        <v>0</v>
      </c>
      <c r="AY89" s="79">
        <v>0</v>
      </c>
      <c r="AZ89" s="79">
        <v>0</v>
      </c>
      <c r="BA89" s="79">
        <v>0</v>
      </c>
      <c r="BB89" s="79">
        <v>0</v>
      </c>
      <c r="BC89" s="79">
        <v>0</v>
      </c>
      <c r="BD89" s="79">
        <v>0</v>
      </c>
      <c r="BE89" s="79">
        <v>1</v>
      </c>
      <c r="BF89" s="79">
        <v>0</v>
      </c>
      <c r="BG89" s="79">
        <v>0</v>
      </c>
      <c r="BH89" s="79">
        <v>0</v>
      </c>
      <c r="BI89" s="79">
        <v>0</v>
      </c>
      <c r="BJ89" s="79">
        <v>0</v>
      </c>
      <c r="BK89" s="79">
        <v>0</v>
      </c>
      <c r="BL89" s="79">
        <v>0</v>
      </c>
      <c r="BM89" s="79">
        <v>0</v>
      </c>
    </row>
    <row r="90" spans="1:65" x14ac:dyDescent="0.25">
      <c r="A90" s="60">
        <f t="shared" si="9"/>
        <v>0</v>
      </c>
      <c r="B90" s="58" t="str">
        <f>'TB Data'!B95</f>
        <v>8414</v>
      </c>
      <c r="C90" s="60">
        <f t="shared" si="8"/>
        <v>1</v>
      </c>
      <c r="D90" s="84" t="s">
        <v>94</v>
      </c>
      <c r="E90" s="79">
        <v>0</v>
      </c>
      <c r="F90" s="79">
        <v>0</v>
      </c>
      <c r="G90" s="79">
        <v>0</v>
      </c>
      <c r="H90" s="79">
        <v>0</v>
      </c>
      <c r="I90" s="79">
        <v>0</v>
      </c>
      <c r="J90" s="79">
        <v>0</v>
      </c>
      <c r="K90" s="79">
        <v>0</v>
      </c>
      <c r="L90" s="79">
        <v>0</v>
      </c>
      <c r="M90" s="79">
        <v>0</v>
      </c>
      <c r="N90" s="79">
        <v>0</v>
      </c>
      <c r="O90" s="79">
        <v>0</v>
      </c>
      <c r="P90" s="79">
        <v>0</v>
      </c>
      <c r="Q90" s="79">
        <v>0</v>
      </c>
      <c r="R90" s="79">
        <v>0</v>
      </c>
      <c r="S90" s="79">
        <v>0</v>
      </c>
      <c r="T90" s="79">
        <v>0</v>
      </c>
      <c r="U90" s="79">
        <v>0</v>
      </c>
      <c r="V90" s="79">
        <v>0</v>
      </c>
      <c r="W90" s="79">
        <v>0</v>
      </c>
      <c r="X90" s="79">
        <v>0</v>
      </c>
      <c r="Y90" s="79">
        <v>0</v>
      </c>
      <c r="Z90" s="79">
        <v>0</v>
      </c>
      <c r="AA90" s="79">
        <v>0</v>
      </c>
      <c r="AB90" s="79">
        <v>0</v>
      </c>
      <c r="AC90" s="79">
        <v>0</v>
      </c>
      <c r="AD90" s="79">
        <v>0</v>
      </c>
      <c r="AE90" s="79">
        <v>0</v>
      </c>
      <c r="AF90" s="79">
        <v>0</v>
      </c>
      <c r="AG90" s="79">
        <v>0</v>
      </c>
      <c r="AH90" s="79">
        <v>0</v>
      </c>
      <c r="AI90" s="79">
        <v>0</v>
      </c>
      <c r="AJ90" s="79">
        <v>0</v>
      </c>
      <c r="AK90" s="79">
        <v>0</v>
      </c>
      <c r="AL90" s="79">
        <v>0</v>
      </c>
      <c r="AM90" s="79">
        <v>0</v>
      </c>
      <c r="AN90" s="79">
        <v>0</v>
      </c>
      <c r="AO90" s="79">
        <v>0</v>
      </c>
      <c r="AP90" s="79">
        <v>0</v>
      </c>
      <c r="AQ90" s="79">
        <v>0</v>
      </c>
      <c r="AR90" s="79">
        <v>0</v>
      </c>
      <c r="AS90" s="79">
        <v>0</v>
      </c>
      <c r="AT90" s="79">
        <v>0</v>
      </c>
      <c r="AU90" s="79">
        <v>0</v>
      </c>
      <c r="AV90" s="79">
        <v>0</v>
      </c>
      <c r="AW90" s="79">
        <v>0</v>
      </c>
      <c r="AX90" s="79">
        <v>0</v>
      </c>
      <c r="AY90" s="79">
        <v>0</v>
      </c>
      <c r="AZ90" s="79">
        <v>0</v>
      </c>
      <c r="BA90" s="79">
        <v>0</v>
      </c>
      <c r="BB90" s="79">
        <v>0</v>
      </c>
      <c r="BC90" s="79">
        <v>0</v>
      </c>
      <c r="BD90" s="79">
        <v>0</v>
      </c>
      <c r="BE90" s="79">
        <v>0</v>
      </c>
      <c r="BF90" s="79">
        <v>1</v>
      </c>
      <c r="BG90" s="79">
        <v>0</v>
      </c>
      <c r="BH90" s="79">
        <v>0</v>
      </c>
      <c r="BI90" s="79">
        <v>0</v>
      </c>
      <c r="BJ90" s="79">
        <v>0</v>
      </c>
      <c r="BK90" s="79">
        <v>0</v>
      </c>
      <c r="BL90" s="79">
        <v>0</v>
      </c>
      <c r="BM90" s="79">
        <v>0</v>
      </c>
    </row>
    <row r="91" spans="1:65" x14ac:dyDescent="0.25">
      <c r="A91" s="60">
        <f t="shared" si="9"/>
        <v>0</v>
      </c>
      <c r="B91" s="58" t="str">
        <f>'TB Data'!B96</f>
        <v>8420</v>
      </c>
      <c r="C91" s="60">
        <f t="shared" si="8"/>
        <v>1</v>
      </c>
      <c r="D91" s="84" t="s">
        <v>93</v>
      </c>
      <c r="E91" s="79">
        <v>0</v>
      </c>
      <c r="F91" s="79">
        <v>0</v>
      </c>
      <c r="G91" s="79">
        <v>0</v>
      </c>
      <c r="H91" s="79">
        <v>0</v>
      </c>
      <c r="I91" s="79">
        <v>0</v>
      </c>
      <c r="J91" s="79">
        <v>0</v>
      </c>
      <c r="K91" s="79">
        <v>0</v>
      </c>
      <c r="L91" s="79">
        <v>0</v>
      </c>
      <c r="M91" s="79">
        <v>0</v>
      </c>
      <c r="N91" s="79">
        <v>0</v>
      </c>
      <c r="O91" s="79">
        <v>0</v>
      </c>
      <c r="P91" s="79">
        <v>0</v>
      </c>
      <c r="Q91" s="79">
        <v>0</v>
      </c>
      <c r="R91" s="79">
        <v>0</v>
      </c>
      <c r="S91" s="79">
        <v>0</v>
      </c>
      <c r="T91" s="79">
        <v>0</v>
      </c>
      <c r="U91" s="79">
        <v>0</v>
      </c>
      <c r="V91" s="79">
        <v>0</v>
      </c>
      <c r="W91" s="79">
        <v>0</v>
      </c>
      <c r="X91" s="79">
        <v>0</v>
      </c>
      <c r="Y91" s="79">
        <v>0</v>
      </c>
      <c r="Z91" s="79">
        <v>0</v>
      </c>
      <c r="AA91" s="79">
        <v>0</v>
      </c>
      <c r="AB91" s="79">
        <v>0</v>
      </c>
      <c r="AC91" s="79">
        <v>0</v>
      </c>
      <c r="AD91" s="79">
        <v>0</v>
      </c>
      <c r="AE91" s="79">
        <v>0</v>
      </c>
      <c r="AF91" s="79">
        <v>0</v>
      </c>
      <c r="AG91" s="79">
        <v>0</v>
      </c>
      <c r="AH91" s="79">
        <v>0</v>
      </c>
      <c r="AI91" s="79">
        <v>0</v>
      </c>
      <c r="AJ91" s="79">
        <v>0</v>
      </c>
      <c r="AK91" s="79">
        <v>0</v>
      </c>
      <c r="AL91" s="79">
        <v>0</v>
      </c>
      <c r="AM91" s="79">
        <v>0</v>
      </c>
      <c r="AN91" s="79">
        <v>0</v>
      </c>
      <c r="AO91" s="79">
        <v>0</v>
      </c>
      <c r="AP91" s="79">
        <v>0</v>
      </c>
      <c r="AQ91" s="79">
        <v>0</v>
      </c>
      <c r="AR91" s="79">
        <v>0</v>
      </c>
      <c r="AS91" s="79">
        <v>0</v>
      </c>
      <c r="AT91" s="79">
        <v>0</v>
      </c>
      <c r="AU91" s="79">
        <v>0</v>
      </c>
      <c r="AV91" s="79">
        <v>0</v>
      </c>
      <c r="AW91" s="79">
        <v>0</v>
      </c>
      <c r="AX91" s="79">
        <v>0</v>
      </c>
      <c r="AY91" s="79">
        <v>0</v>
      </c>
      <c r="AZ91" s="79">
        <v>0</v>
      </c>
      <c r="BA91" s="79">
        <v>0</v>
      </c>
      <c r="BB91" s="79">
        <v>0</v>
      </c>
      <c r="BC91" s="79">
        <v>0</v>
      </c>
      <c r="BD91" s="79">
        <v>0</v>
      </c>
      <c r="BE91" s="79">
        <v>0</v>
      </c>
      <c r="BF91" s="79">
        <v>0</v>
      </c>
      <c r="BG91" s="79">
        <v>1</v>
      </c>
      <c r="BH91" s="79">
        <v>0</v>
      </c>
      <c r="BI91" s="79">
        <v>0</v>
      </c>
      <c r="BJ91" s="79">
        <v>0</v>
      </c>
      <c r="BK91" s="79">
        <v>0</v>
      </c>
      <c r="BL91" s="79">
        <v>0</v>
      </c>
      <c r="BM91" s="79">
        <v>0</v>
      </c>
    </row>
    <row r="92" spans="1:65" x14ac:dyDescent="0.25">
      <c r="A92" s="60">
        <f t="shared" si="9"/>
        <v>0</v>
      </c>
      <c r="B92" s="58" t="str">
        <f>'TB Data'!B97</f>
        <v>8421</v>
      </c>
      <c r="C92" s="60">
        <f t="shared" si="8"/>
        <v>1</v>
      </c>
      <c r="D92" s="84" t="s">
        <v>92</v>
      </c>
      <c r="E92" s="79">
        <v>0</v>
      </c>
      <c r="F92" s="79">
        <v>0</v>
      </c>
      <c r="G92" s="79">
        <v>0</v>
      </c>
      <c r="H92" s="79">
        <v>0</v>
      </c>
      <c r="I92" s="79">
        <v>0</v>
      </c>
      <c r="J92" s="79">
        <v>0</v>
      </c>
      <c r="K92" s="79">
        <v>0</v>
      </c>
      <c r="L92" s="79">
        <v>0</v>
      </c>
      <c r="M92" s="79">
        <v>0</v>
      </c>
      <c r="N92" s="79">
        <v>0</v>
      </c>
      <c r="O92" s="79">
        <v>0</v>
      </c>
      <c r="P92" s="79">
        <v>0</v>
      </c>
      <c r="Q92" s="79">
        <v>0</v>
      </c>
      <c r="R92" s="79">
        <v>0</v>
      </c>
      <c r="S92" s="79">
        <v>0</v>
      </c>
      <c r="T92" s="79">
        <v>0</v>
      </c>
      <c r="U92" s="79">
        <v>0</v>
      </c>
      <c r="V92" s="79">
        <v>0</v>
      </c>
      <c r="W92" s="79">
        <v>0</v>
      </c>
      <c r="X92" s="79">
        <v>0</v>
      </c>
      <c r="Y92" s="79">
        <v>0</v>
      </c>
      <c r="Z92" s="79">
        <v>0</v>
      </c>
      <c r="AA92" s="79">
        <v>0</v>
      </c>
      <c r="AB92" s="79">
        <v>0</v>
      </c>
      <c r="AC92" s="79">
        <v>0</v>
      </c>
      <c r="AD92" s="79">
        <v>0</v>
      </c>
      <c r="AE92" s="79">
        <v>0</v>
      </c>
      <c r="AF92" s="79">
        <v>0</v>
      </c>
      <c r="AG92" s="79">
        <v>0</v>
      </c>
      <c r="AH92" s="79">
        <v>0</v>
      </c>
      <c r="AI92" s="79">
        <v>0</v>
      </c>
      <c r="AJ92" s="79">
        <v>0</v>
      </c>
      <c r="AK92" s="79">
        <v>0</v>
      </c>
      <c r="AL92" s="79">
        <v>0</v>
      </c>
      <c r="AM92" s="79">
        <v>0</v>
      </c>
      <c r="AN92" s="79">
        <v>0</v>
      </c>
      <c r="AO92" s="79">
        <v>0</v>
      </c>
      <c r="AP92" s="79">
        <v>0</v>
      </c>
      <c r="AQ92" s="79">
        <v>0</v>
      </c>
      <c r="AR92" s="79">
        <v>0</v>
      </c>
      <c r="AS92" s="79">
        <v>0</v>
      </c>
      <c r="AT92" s="79">
        <v>0</v>
      </c>
      <c r="AU92" s="79">
        <v>0</v>
      </c>
      <c r="AV92" s="79">
        <v>0</v>
      </c>
      <c r="AW92" s="79">
        <v>0</v>
      </c>
      <c r="AX92" s="79">
        <v>0</v>
      </c>
      <c r="AY92" s="79">
        <v>0</v>
      </c>
      <c r="AZ92" s="79">
        <v>0</v>
      </c>
      <c r="BA92" s="79">
        <v>0</v>
      </c>
      <c r="BB92" s="79">
        <v>0</v>
      </c>
      <c r="BC92" s="79">
        <v>0</v>
      </c>
      <c r="BD92" s="79">
        <v>0</v>
      </c>
      <c r="BE92" s="79">
        <v>0</v>
      </c>
      <c r="BF92" s="79">
        <v>0</v>
      </c>
      <c r="BG92" s="79">
        <v>1</v>
      </c>
      <c r="BH92" s="79">
        <v>0</v>
      </c>
      <c r="BI92" s="79">
        <v>0</v>
      </c>
      <c r="BJ92" s="79">
        <v>0</v>
      </c>
      <c r="BK92" s="79">
        <v>0</v>
      </c>
      <c r="BL92" s="79">
        <v>0</v>
      </c>
      <c r="BM92" s="79">
        <v>0</v>
      </c>
    </row>
    <row r="93" spans="1:65" x14ac:dyDescent="0.25">
      <c r="A93" s="60">
        <f t="shared" si="9"/>
        <v>0</v>
      </c>
      <c r="B93" s="58" t="str">
        <f>'TB Data'!B98</f>
        <v>8424</v>
      </c>
      <c r="C93" s="60">
        <f t="shared" si="8"/>
        <v>1</v>
      </c>
      <c r="D93" s="84" t="s">
        <v>91</v>
      </c>
      <c r="E93" s="79">
        <v>0</v>
      </c>
      <c r="F93" s="79">
        <v>0</v>
      </c>
      <c r="G93" s="79">
        <v>0</v>
      </c>
      <c r="H93" s="79">
        <v>0</v>
      </c>
      <c r="I93" s="79">
        <v>0</v>
      </c>
      <c r="J93" s="79">
        <v>0</v>
      </c>
      <c r="K93" s="79">
        <v>0</v>
      </c>
      <c r="L93" s="79">
        <v>0</v>
      </c>
      <c r="M93" s="79">
        <v>0</v>
      </c>
      <c r="N93" s="79">
        <v>0</v>
      </c>
      <c r="O93" s="79">
        <v>0</v>
      </c>
      <c r="P93" s="79">
        <v>0</v>
      </c>
      <c r="Q93" s="79">
        <v>0</v>
      </c>
      <c r="R93" s="79">
        <v>0</v>
      </c>
      <c r="S93" s="79">
        <v>0</v>
      </c>
      <c r="T93" s="79">
        <v>0</v>
      </c>
      <c r="U93" s="79">
        <v>0</v>
      </c>
      <c r="V93" s="79">
        <v>0</v>
      </c>
      <c r="W93" s="79">
        <v>0</v>
      </c>
      <c r="X93" s="79">
        <v>0</v>
      </c>
      <c r="Y93" s="79">
        <v>0</v>
      </c>
      <c r="Z93" s="79">
        <v>0</v>
      </c>
      <c r="AA93" s="79">
        <v>0</v>
      </c>
      <c r="AB93" s="79">
        <v>0</v>
      </c>
      <c r="AC93" s="79">
        <v>0</v>
      </c>
      <c r="AD93" s="79">
        <v>0</v>
      </c>
      <c r="AE93" s="79">
        <v>0</v>
      </c>
      <c r="AF93" s="79">
        <v>0</v>
      </c>
      <c r="AG93" s="79">
        <v>0</v>
      </c>
      <c r="AH93" s="79">
        <v>0</v>
      </c>
      <c r="AI93" s="79">
        <v>0</v>
      </c>
      <c r="AJ93" s="79">
        <v>0</v>
      </c>
      <c r="AK93" s="79">
        <v>0</v>
      </c>
      <c r="AL93" s="79">
        <v>0</v>
      </c>
      <c r="AM93" s="79">
        <v>0</v>
      </c>
      <c r="AN93" s="79">
        <v>0</v>
      </c>
      <c r="AO93" s="79">
        <v>0</v>
      </c>
      <c r="AP93" s="79">
        <v>0</v>
      </c>
      <c r="AQ93" s="79">
        <v>0</v>
      </c>
      <c r="AR93" s="79">
        <v>0</v>
      </c>
      <c r="AS93" s="79">
        <v>0</v>
      </c>
      <c r="AT93" s="79">
        <v>0</v>
      </c>
      <c r="AU93" s="79">
        <v>0</v>
      </c>
      <c r="AV93" s="79">
        <v>0</v>
      </c>
      <c r="AW93" s="79">
        <v>0</v>
      </c>
      <c r="AX93" s="79">
        <v>0</v>
      </c>
      <c r="AY93" s="79">
        <v>0</v>
      </c>
      <c r="AZ93" s="79">
        <v>0</v>
      </c>
      <c r="BA93" s="79">
        <v>0</v>
      </c>
      <c r="BB93" s="79">
        <v>0</v>
      </c>
      <c r="BC93" s="79">
        <v>0</v>
      </c>
      <c r="BD93" s="79">
        <v>0</v>
      </c>
      <c r="BE93" s="79">
        <v>0</v>
      </c>
      <c r="BF93" s="79">
        <v>0</v>
      </c>
      <c r="BG93" s="79">
        <v>0</v>
      </c>
      <c r="BH93" s="79">
        <v>1</v>
      </c>
      <c r="BI93" s="79">
        <v>0</v>
      </c>
      <c r="BJ93" s="79">
        <v>0</v>
      </c>
      <c r="BK93" s="79">
        <v>0</v>
      </c>
      <c r="BL93" s="79">
        <v>0</v>
      </c>
      <c r="BM93" s="79">
        <v>0</v>
      </c>
    </row>
    <row r="94" spans="1:65" x14ac:dyDescent="0.25">
      <c r="A94" s="60">
        <f t="shared" si="9"/>
        <v>0</v>
      </c>
      <c r="B94" s="58" t="str">
        <f>'TB Data'!B99</f>
        <v>8426</v>
      </c>
      <c r="C94" s="60">
        <f t="shared" si="8"/>
        <v>1</v>
      </c>
      <c r="D94" s="84" t="s">
        <v>90</v>
      </c>
      <c r="E94" s="79">
        <v>0</v>
      </c>
      <c r="F94" s="79">
        <v>0</v>
      </c>
      <c r="G94" s="79">
        <v>0</v>
      </c>
      <c r="H94" s="79">
        <v>0</v>
      </c>
      <c r="I94" s="79">
        <v>0</v>
      </c>
      <c r="J94" s="79">
        <v>0</v>
      </c>
      <c r="K94" s="79">
        <v>0</v>
      </c>
      <c r="L94" s="79">
        <v>0</v>
      </c>
      <c r="M94" s="79">
        <v>0</v>
      </c>
      <c r="N94" s="79">
        <v>0</v>
      </c>
      <c r="O94" s="79">
        <v>0</v>
      </c>
      <c r="P94" s="79">
        <v>0</v>
      </c>
      <c r="Q94" s="79">
        <v>0</v>
      </c>
      <c r="R94" s="79">
        <v>0</v>
      </c>
      <c r="S94" s="79">
        <v>0</v>
      </c>
      <c r="T94" s="79">
        <v>0</v>
      </c>
      <c r="U94" s="79">
        <v>0</v>
      </c>
      <c r="V94" s="79">
        <v>0</v>
      </c>
      <c r="W94" s="79">
        <v>0</v>
      </c>
      <c r="X94" s="79">
        <v>0</v>
      </c>
      <c r="Y94" s="79">
        <v>0</v>
      </c>
      <c r="Z94" s="79">
        <v>0</v>
      </c>
      <c r="AA94" s="79">
        <v>0</v>
      </c>
      <c r="AB94" s="79">
        <v>0</v>
      </c>
      <c r="AC94" s="79">
        <v>0</v>
      </c>
      <c r="AD94" s="79">
        <v>0</v>
      </c>
      <c r="AE94" s="79">
        <v>0</v>
      </c>
      <c r="AF94" s="79">
        <v>0</v>
      </c>
      <c r="AG94" s="79">
        <v>0</v>
      </c>
      <c r="AH94" s="79">
        <v>0</v>
      </c>
      <c r="AI94" s="79">
        <v>0</v>
      </c>
      <c r="AJ94" s="79">
        <v>0</v>
      </c>
      <c r="AK94" s="79">
        <v>0</v>
      </c>
      <c r="AL94" s="79">
        <v>0</v>
      </c>
      <c r="AM94" s="79">
        <v>0</v>
      </c>
      <c r="AN94" s="79">
        <v>0</v>
      </c>
      <c r="AO94" s="79">
        <v>0</v>
      </c>
      <c r="AP94" s="79">
        <v>0</v>
      </c>
      <c r="AQ94" s="79">
        <v>0</v>
      </c>
      <c r="AR94" s="79">
        <v>0</v>
      </c>
      <c r="AS94" s="79">
        <v>0</v>
      </c>
      <c r="AT94" s="79">
        <v>0</v>
      </c>
      <c r="AU94" s="79">
        <v>0</v>
      </c>
      <c r="AV94" s="79">
        <v>0</v>
      </c>
      <c r="AW94" s="79">
        <v>0</v>
      </c>
      <c r="AX94" s="79">
        <v>0</v>
      </c>
      <c r="AY94" s="79">
        <v>0</v>
      </c>
      <c r="AZ94" s="79">
        <v>0</v>
      </c>
      <c r="BA94" s="79">
        <v>0</v>
      </c>
      <c r="BB94" s="79">
        <v>0</v>
      </c>
      <c r="BC94" s="79">
        <v>0</v>
      </c>
      <c r="BD94" s="79">
        <v>0</v>
      </c>
      <c r="BE94" s="79">
        <v>0</v>
      </c>
      <c r="BF94" s="79">
        <v>0</v>
      </c>
      <c r="BG94" s="79">
        <v>0</v>
      </c>
      <c r="BH94" s="79">
        <v>0</v>
      </c>
      <c r="BI94" s="79">
        <v>1</v>
      </c>
      <c r="BJ94" s="79">
        <v>0</v>
      </c>
      <c r="BK94" s="79">
        <v>0</v>
      </c>
      <c r="BL94" s="79">
        <v>0</v>
      </c>
      <c r="BM94" s="79">
        <v>0</v>
      </c>
    </row>
    <row r="95" spans="1:65" x14ac:dyDescent="0.25">
      <c r="A95" s="60">
        <f t="shared" si="9"/>
        <v>0</v>
      </c>
      <c r="B95" s="58" t="str">
        <f>'TB Data'!B100</f>
        <v>8430</v>
      </c>
      <c r="C95" s="60">
        <f t="shared" si="8"/>
        <v>1</v>
      </c>
      <c r="D95" s="84" t="s">
        <v>89</v>
      </c>
      <c r="E95" s="79">
        <v>0</v>
      </c>
      <c r="F95" s="79">
        <v>0</v>
      </c>
      <c r="G95" s="79">
        <v>0</v>
      </c>
      <c r="H95" s="79">
        <v>0</v>
      </c>
      <c r="I95" s="79">
        <v>0</v>
      </c>
      <c r="J95" s="79">
        <v>0</v>
      </c>
      <c r="K95" s="79">
        <v>0</v>
      </c>
      <c r="L95" s="79">
        <v>0</v>
      </c>
      <c r="M95" s="79">
        <v>0</v>
      </c>
      <c r="N95" s="79">
        <v>0</v>
      </c>
      <c r="O95" s="79">
        <v>0</v>
      </c>
      <c r="P95" s="79">
        <v>0</v>
      </c>
      <c r="Q95" s="79">
        <v>0</v>
      </c>
      <c r="R95" s="79">
        <v>0</v>
      </c>
      <c r="S95" s="79">
        <v>0</v>
      </c>
      <c r="T95" s="79">
        <v>0</v>
      </c>
      <c r="U95" s="79">
        <v>0</v>
      </c>
      <c r="V95" s="79">
        <v>0</v>
      </c>
      <c r="W95" s="79">
        <v>0</v>
      </c>
      <c r="X95" s="79">
        <v>0</v>
      </c>
      <c r="Y95" s="79">
        <v>0</v>
      </c>
      <c r="Z95" s="79">
        <v>0</v>
      </c>
      <c r="AA95" s="79">
        <v>0</v>
      </c>
      <c r="AB95" s="79">
        <v>0</v>
      </c>
      <c r="AC95" s="79">
        <v>0</v>
      </c>
      <c r="AD95" s="79">
        <v>0</v>
      </c>
      <c r="AE95" s="79">
        <v>0</v>
      </c>
      <c r="AF95" s="79">
        <v>0</v>
      </c>
      <c r="AG95" s="79">
        <v>0</v>
      </c>
      <c r="AH95" s="79">
        <v>0</v>
      </c>
      <c r="AI95" s="79">
        <v>0</v>
      </c>
      <c r="AJ95" s="79">
        <v>0</v>
      </c>
      <c r="AK95" s="79">
        <v>0</v>
      </c>
      <c r="AL95" s="79">
        <v>0</v>
      </c>
      <c r="AM95" s="79">
        <v>0</v>
      </c>
      <c r="AN95" s="79">
        <v>0</v>
      </c>
      <c r="AO95" s="79">
        <v>0</v>
      </c>
      <c r="AP95" s="79">
        <v>0</v>
      </c>
      <c r="AQ95" s="79">
        <v>0</v>
      </c>
      <c r="AR95" s="79">
        <v>0</v>
      </c>
      <c r="AS95" s="79">
        <v>0</v>
      </c>
      <c r="AT95" s="79">
        <v>0</v>
      </c>
      <c r="AU95" s="79">
        <v>0</v>
      </c>
      <c r="AV95" s="79">
        <v>0</v>
      </c>
      <c r="AW95" s="79">
        <v>0</v>
      </c>
      <c r="AX95" s="79">
        <v>0</v>
      </c>
      <c r="AY95" s="79">
        <v>0</v>
      </c>
      <c r="AZ95" s="79">
        <v>0</v>
      </c>
      <c r="BA95" s="79">
        <v>0</v>
      </c>
      <c r="BB95" s="79">
        <v>0</v>
      </c>
      <c r="BC95" s="79">
        <v>0</v>
      </c>
      <c r="BD95" s="79">
        <v>0</v>
      </c>
      <c r="BE95" s="79">
        <v>0</v>
      </c>
      <c r="BF95" s="79">
        <v>0</v>
      </c>
      <c r="BG95" s="79">
        <v>0</v>
      </c>
      <c r="BH95" s="79">
        <v>0</v>
      </c>
      <c r="BI95" s="79">
        <v>0</v>
      </c>
      <c r="BJ95" s="79">
        <v>1</v>
      </c>
      <c r="BK95" s="79">
        <v>0</v>
      </c>
      <c r="BL95" s="79">
        <v>0</v>
      </c>
      <c r="BM95" s="79">
        <v>0</v>
      </c>
    </row>
    <row r="96" spans="1:65" x14ac:dyDescent="0.25">
      <c r="A96" s="60">
        <f t="shared" si="9"/>
        <v>0</v>
      </c>
      <c r="B96" s="58" t="str">
        <f>'TB Data'!B101</f>
        <v>8433</v>
      </c>
      <c r="C96" s="60">
        <f t="shared" si="8"/>
        <v>1</v>
      </c>
      <c r="D96" s="84" t="s">
        <v>120</v>
      </c>
      <c r="E96" s="79">
        <v>0</v>
      </c>
      <c r="F96" s="79">
        <v>0</v>
      </c>
      <c r="G96" s="79">
        <v>0</v>
      </c>
      <c r="H96" s="79">
        <v>0</v>
      </c>
      <c r="I96" s="79">
        <v>0</v>
      </c>
      <c r="J96" s="79">
        <v>0</v>
      </c>
      <c r="K96" s="79">
        <v>0</v>
      </c>
      <c r="L96" s="79">
        <v>0</v>
      </c>
      <c r="M96" s="79">
        <v>0</v>
      </c>
      <c r="N96" s="79">
        <v>0</v>
      </c>
      <c r="O96" s="79">
        <v>0</v>
      </c>
      <c r="P96" s="79">
        <v>0</v>
      </c>
      <c r="Q96" s="79">
        <v>0</v>
      </c>
      <c r="R96" s="79">
        <v>0</v>
      </c>
      <c r="S96" s="79">
        <v>0</v>
      </c>
      <c r="T96" s="79">
        <v>0</v>
      </c>
      <c r="U96" s="79">
        <v>0</v>
      </c>
      <c r="V96" s="79">
        <v>0</v>
      </c>
      <c r="W96" s="79">
        <v>0</v>
      </c>
      <c r="X96" s="79">
        <v>0</v>
      </c>
      <c r="Y96" s="79">
        <v>0</v>
      </c>
      <c r="Z96" s="79">
        <v>0</v>
      </c>
      <c r="AA96" s="79">
        <v>0</v>
      </c>
      <c r="AB96" s="79">
        <v>0</v>
      </c>
      <c r="AC96" s="79">
        <v>0</v>
      </c>
      <c r="AD96" s="79">
        <v>0</v>
      </c>
      <c r="AE96" s="79">
        <v>0</v>
      </c>
      <c r="AF96" s="79">
        <v>0</v>
      </c>
      <c r="AG96" s="79">
        <v>0</v>
      </c>
      <c r="AH96" s="79">
        <v>0</v>
      </c>
      <c r="AI96" s="79">
        <v>0</v>
      </c>
      <c r="AJ96" s="79">
        <v>0</v>
      </c>
      <c r="AK96" s="79">
        <v>0</v>
      </c>
      <c r="AL96" s="79">
        <v>0</v>
      </c>
      <c r="AM96" s="79">
        <v>0</v>
      </c>
      <c r="AN96" s="79">
        <v>0</v>
      </c>
      <c r="AO96" s="79">
        <v>0</v>
      </c>
      <c r="AP96" s="79">
        <v>0</v>
      </c>
      <c r="AQ96" s="79">
        <v>0</v>
      </c>
      <c r="AR96" s="79">
        <v>0</v>
      </c>
      <c r="AS96" s="79">
        <v>0</v>
      </c>
      <c r="AT96" s="79">
        <v>0</v>
      </c>
      <c r="AU96" s="79">
        <v>0</v>
      </c>
      <c r="AV96" s="79">
        <v>0</v>
      </c>
      <c r="AW96" s="79">
        <v>0</v>
      </c>
      <c r="AX96" s="79">
        <v>0</v>
      </c>
      <c r="AY96" s="79">
        <v>0</v>
      </c>
      <c r="AZ96" s="79">
        <v>0</v>
      </c>
      <c r="BA96" s="79">
        <v>0</v>
      </c>
      <c r="BB96" s="79">
        <v>0</v>
      </c>
      <c r="BC96" s="79">
        <v>0</v>
      </c>
      <c r="BD96" s="79">
        <v>0</v>
      </c>
      <c r="BE96" s="79">
        <v>0</v>
      </c>
      <c r="BF96" s="79">
        <v>0</v>
      </c>
      <c r="BG96" s="79">
        <v>0</v>
      </c>
      <c r="BH96" s="79">
        <v>0</v>
      </c>
      <c r="BI96" s="79">
        <v>0</v>
      </c>
      <c r="BJ96" s="79">
        <v>0</v>
      </c>
      <c r="BK96" s="79">
        <v>1</v>
      </c>
      <c r="BL96" s="79">
        <v>0</v>
      </c>
      <c r="BM96" s="79">
        <v>0</v>
      </c>
    </row>
    <row r="97" spans="1:65" x14ac:dyDescent="0.25">
      <c r="A97" s="60">
        <f t="shared" si="9"/>
        <v>0</v>
      </c>
      <c r="B97" s="58" t="str">
        <f>'TB Data'!B102</f>
        <v>8435</v>
      </c>
      <c r="C97" s="60">
        <f t="shared" si="8"/>
        <v>1</v>
      </c>
      <c r="D97" s="84" t="s">
        <v>88</v>
      </c>
      <c r="E97" s="79">
        <v>0</v>
      </c>
      <c r="F97" s="79">
        <v>0</v>
      </c>
      <c r="G97" s="79">
        <v>0</v>
      </c>
      <c r="H97" s="79">
        <v>0</v>
      </c>
      <c r="I97" s="79">
        <v>0</v>
      </c>
      <c r="J97" s="79">
        <v>0</v>
      </c>
      <c r="K97" s="79">
        <v>0</v>
      </c>
      <c r="L97" s="79">
        <v>0</v>
      </c>
      <c r="M97" s="79">
        <v>0</v>
      </c>
      <c r="N97" s="79">
        <v>0</v>
      </c>
      <c r="O97" s="79">
        <v>0</v>
      </c>
      <c r="P97" s="79">
        <v>0</v>
      </c>
      <c r="Q97" s="79">
        <v>0</v>
      </c>
      <c r="R97" s="79">
        <v>0</v>
      </c>
      <c r="S97" s="79">
        <v>0</v>
      </c>
      <c r="T97" s="79">
        <v>0</v>
      </c>
      <c r="U97" s="79">
        <v>0</v>
      </c>
      <c r="V97" s="79">
        <v>0</v>
      </c>
      <c r="W97" s="79">
        <v>0</v>
      </c>
      <c r="X97" s="79">
        <v>0</v>
      </c>
      <c r="Y97" s="79">
        <v>0</v>
      </c>
      <c r="Z97" s="79">
        <v>0</v>
      </c>
      <c r="AA97" s="79">
        <v>0</v>
      </c>
      <c r="AB97" s="79">
        <v>0</v>
      </c>
      <c r="AC97" s="79">
        <v>0</v>
      </c>
      <c r="AD97" s="79">
        <v>0</v>
      </c>
      <c r="AE97" s="79">
        <v>0</v>
      </c>
      <c r="AF97" s="79">
        <v>0</v>
      </c>
      <c r="AG97" s="79">
        <v>0</v>
      </c>
      <c r="AH97" s="79">
        <v>0</v>
      </c>
      <c r="AI97" s="79">
        <v>0</v>
      </c>
      <c r="AJ97" s="79">
        <v>0</v>
      </c>
      <c r="AK97" s="79">
        <v>0</v>
      </c>
      <c r="AL97" s="79">
        <v>0</v>
      </c>
      <c r="AM97" s="79">
        <v>0</v>
      </c>
      <c r="AN97" s="79">
        <v>0</v>
      </c>
      <c r="AO97" s="79">
        <v>0</v>
      </c>
      <c r="AP97" s="79">
        <v>0</v>
      </c>
      <c r="AQ97" s="79">
        <v>0</v>
      </c>
      <c r="AR97" s="79">
        <v>0</v>
      </c>
      <c r="AS97" s="79">
        <v>0</v>
      </c>
      <c r="AT97" s="79">
        <v>0</v>
      </c>
      <c r="AU97" s="79">
        <v>0</v>
      </c>
      <c r="AV97" s="79">
        <v>0</v>
      </c>
      <c r="AW97" s="79">
        <v>0</v>
      </c>
      <c r="AX97" s="79">
        <v>0</v>
      </c>
      <c r="AY97" s="79">
        <v>0</v>
      </c>
      <c r="AZ97" s="79">
        <v>0</v>
      </c>
      <c r="BA97" s="79">
        <v>0</v>
      </c>
      <c r="BB97" s="79">
        <v>0</v>
      </c>
      <c r="BC97" s="79">
        <v>0</v>
      </c>
      <c r="BD97" s="79">
        <v>0</v>
      </c>
      <c r="BE97" s="79">
        <v>0</v>
      </c>
      <c r="BF97" s="79">
        <v>0</v>
      </c>
      <c r="BG97" s="79">
        <v>0</v>
      </c>
      <c r="BH97" s="79">
        <v>0</v>
      </c>
      <c r="BI97" s="79">
        <v>0</v>
      </c>
      <c r="BJ97" s="79">
        <v>0</v>
      </c>
      <c r="BK97" s="79">
        <v>0</v>
      </c>
      <c r="BL97" s="79">
        <v>1</v>
      </c>
      <c r="BM97" s="79">
        <v>0</v>
      </c>
    </row>
    <row r="98" spans="1:65" x14ac:dyDescent="0.25">
      <c r="A98" s="60">
        <f t="shared" si="9"/>
        <v>0</v>
      </c>
      <c r="B98" s="58" t="str">
        <f>'TB Data'!B103</f>
        <v>8440</v>
      </c>
      <c r="C98" s="60">
        <f t="shared" si="8"/>
        <v>1</v>
      </c>
      <c r="D98" t="s">
        <v>87</v>
      </c>
      <c r="E98" s="79">
        <v>0</v>
      </c>
      <c r="F98" s="79">
        <v>0</v>
      </c>
      <c r="G98" s="79">
        <v>0</v>
      </c>
      <c r="H98" s="79">
        <v>0</v>
      </c>
      <c r="I98" s="79">
        <v>0</v>
      </c>
      <c r="J98" s="79">
        <v>0</v>
      </c>
      <c r="K98" s="79">
        <v>0</v>
      </c>
      <c r="L98" s="79">
        <v>0</v>
      </c>
      <c r="M98" s="79">
        <v>0</v>
      </c>
      <c r="N98" s="79">
        <v>0</v>
      </c>
      <c r="O98" s="79">
        <v>0</v>
      </c>
      <c r="P98" s="79">
        <v>0</v>
      </c>
      <c r="Q98" s="79">
        <v>0</v>
      </c>
      <c r="R98" s="79">
        <v>0</v>
      </c>
      <c r="S98" s="79">
        <v>0</v>
      </c>
      <c r="T98" s="79">
        <v>0</v>
      </c>
      <c r="U98" s="79">
        <v>0</v>
      </c>
      <c r="V98" s="79">
        <v>0</v>
      </c>
      <c r="W98" s="79">
        <v>0</v>
      </c>
      <c r="X98" s="79">
        <v>0</v>
      </c>
      <c r="Y98" s="79">
        <v>0</v>
      </c>
      <c r="Z98" s="79">
        <v>0</v>
      </c>
      <c r="AA98" s="79">
        <v>0</v>
      </c>
      <c r="AB98" s="79">
        <v>0</v>
      </c>
      <c r="AC98" s="79">
        <v>0</v>
      </c>
      <c r="AD98" s="79">
        <v>0</v>
      </c>
      <c r="AE98" s="79">
        <v>0</v>
      </c>
      <c r="AF98" s="79">
        <v>0</v>
      </c>
      <c r="AG98" s="79">
        <v>0</v>
      </c>
      <c r="AH98" s="79">
        <v>0</v>
      </c>
      <c r="AI98" s="79">
        <v>0</v>
      </c>
      <c r="AJ98" s="79">
        <v>0</v>
      </c>
      <c r="AK98" s="79">
        <v>0</v>
      </c>
      <c r="AL98" s="79">
        <v>0</v>
      </c>
      <c r="AM98" s="79">
        <v>0</v>
      </c>
      <c r="AN98" s="79">
        <v>0</v>
      </c>
      <c r="AO98" s="79">
        <v>0</v>
      </c>
      <c r="AP98" s="79">
        <v>0</v>
      </c>
      <c r="AQ98" s="79">
        <v>0</v>
      </c>
      <c r="AR98" s="79">
        <v>0</v>
      </c>
      <c r="AS98" s="79">
        <v>0</v>
      </c>
      <c r="AT98" s="79">
        <v>0</v>
      </c>
      <c r="AU98" s="79">
        <v>0</v>
      </c>
      <c r="AV98" s="79">
        <v>0</v>
      </c>
      <c r="AW98" s="79">
        <v>0</v>
      </c>
      <c r="AX98" s="79">
        <v>0</v>
      </c>
      <c r="AY98" s="79">
        <v>0</v>
      </c>
      <c r="AZ98" s="79">
        <v>0</v>
      </c>
      <c r="BA98" s="79">
        <v>0</v>
      </c>
      <c r="BB98" s="79">
        <v>0</v>
      </c>
      <c r="BC98" s="79">
        <v>0</v>
      </c>
      <c r="BD98" s="79">
        <v>0</v>
      </c>
      <c r="BE98" s="79">
        <v>0</v>
      </c>
      <c r="BF98" s="79">
        <v>0</v>
      </c>
      <c r="BG98" s="79">
        <v>0</v>
      </c>
      <c r="BH98" s="79">
        <v>0</v>
      </c>
      <c r="BI98" s="79">
        <v>0</v>
      </c>
      <c r="BJ98" s="79">
        <v>0</v>
      </c>
      <c r="BK98" s="79">
        <v>0</v>
      </c>
      <c r="BL98" s="79">
        <v>0</v>
      </c>
      <c r="BM98" s="79">
        <v>1</v>
      </c>
    </row>
    <row r="99" spans="1:65" x14ac:dyDescent="0.25">
      <c r="A99" s="60">
        <f t="shared" si="9"/>
        <v>0</v>
      </c>
      <c r="B99" s="58" t="str">
        <f>'TB Data'!B104</f>
        <v>9998</v>
      </c>
      <c r="C99" s="60">
        <f t="shared" si="8"/>
        <v>1</v>
      </c>
      <c r="D99" t="s">
        <v>236</v>
      </c>
      <c r="E99" s="79">
        <v>0</v>
      </c>
      <c r="F99" s="79">
        <v>0</v>
      </c>
      <c r="G99" s="79">
        <v>0</v>
      </c>
      <c r="H99" s="79">
        <v>0</v>
      </c>
      <c r="I99" s="79">
        <v>0</v>
      </c>
      <c r="J99" s="79">
        <v>0</v>
      </c>
      <c r="K99" s="79">
        <v>1</v>
      </c>
      <c r="L99" s="79">
        <v>0</v>
      </c>
      <c r="M99" s="79">
        <v>0</v>
      </c>
      <c r="N99" s="79">
        <v>0</v>
      </c>
      <c r="O99" s="79">
        <v>0</v>
      </c>
      <c r="P99" s="79">
        <v>0</v>
      </c>
      <c r="Q99" s="79">
        <v>0</v>
      </c>
      <c r="R99" s="79">
        <v>0</v>
      </c>
      <c r="S99" s="79">
        <v>0</v>
      </c>
      <c r="T99" s="79">
        <v>0</v>
      </c>
      <c r="U99" s="79">
        <v>0</v>
      </c>
      <c r="V99" s="79">
        <v>0</v>
      </c>
      <c r="W99" s="79">
        <v>0</v>
      </c>
      <c r="X99" s="79">
        <v>0</v>
      </c>
      <c r="Y99" s="79">
        <v>0</v>
      </c>
      <c r="Z99" s="79">
        <v>0</v>
      </c>
      <c r="AA99" s="79">
        <v>0</v>
      </c>
      <c r="AB99" s="79">
        <v>0</v>
      </c>
      <c r="AC99" s="79">
        <v>0</v>
      </c>
      <c r="AD99" s="79">
        <v>0</v>
      </c>
      <c r="AE99" s="79">
        <v>0</v>
      </c>
      <c r="AF99" s="79">
        <v>0</v>
      </c>
      <c r="AG99" s="79">
        <v>0</v>
      </c>
      <c r="AH99" s="79">
        <v>0</v>
      </c>
      <c r="AI99" s="79">
        <v>0</v>
      </c>
      <c r="AJ99" s="79">
        <v>0</v>
      </c>
      <c r="AK99" s="79">
        <v>0</v>
      </c>
      <c r="AL99" s="79">
        <v>0</v>
      </c>
      <c r="AM99" s="79">
        <v>0</v>
      </c>
      <c r="AN99" s="79">
        <v>0</v>
      </c>
      <c r="AO99" s="79">
        <v>0</v>
      </c>
      <c r="AP99" s="79">
        <v>0</v>
      </c>
      <c r="AQ99" s="79">
        <v>0</v>
      </c>
      <c r="AR99" s="79">
        <v>0</v>
      </c>
      <c r="AS99" s="79">
        <v>0</v>
      </c>
      <c r="AT99" s="79">
        <v>0</v>
      </c>
      <c r="AU99" s="79">
        <v>0</v>
      </c>
      <c r="AV99" s="79">
        <v>0</v>
      </c>
      <c r="AW99" s="79">
        <v>0</v>
      </c>
      <c r="AX99" s="79">
        <v>0</v>
      </c>
      <c r="AY99" s="79">
        <v>0</v>
      </c>
      <c r="AZ99" s="79">
        <v>0</v>
      </c>
      <c r="BA99" s="79">
        <v>0</v>
      </c>
      <c r="BB99" s="79">
        <v>0</v>
      </c>
      <c r="BC99" s="79">
        <v>0</v>
      </c>
      <c r="BD99" s="79">
        <v>0</v>
      </c>
      <c r="BE99" s="79">
        <v>0</v>
      </c>
      <c r="BF99" s="79">
        <v>0</v>
      </c>
      <c r="BG99" s="79">
        <v>0</v>
      </c>
      <c r="BH99" s="79">
        <v>0</v>
      </c>
      <c r="BI99" s="79">
        <v>0</v>
      </c>
      <c r="BJ99" s="79">
        <v>0</v>
      </c>
      <c r="BK99" s="79">
        <v>0</v>
      </c>
      <c r="BL99" s="79">
        <v>0</v>
      </c>
      <c r="BM99" s="79">
        <v>0</v>
      </c>
    </row>
    <row r="100" spans="1:65" x14ac:dyDescent="0.25">
      <c r="A100" s="60">
        <f t="shared" si="9"/>
        <v>0</v>
      </c>
      <c r="B100" s="58" t="str">
        <f>'TB Data'!B105</f>
        <v>9999</v>
      </c>
      <c r="C100" s="60">
        <f t="shared" si="8"/>
        <v>1</v>
      </c>
      <c r="D100" t="s">
        <v>86</v>
      </c>
      <c r="E100" s="79">
        <v>0</v>
      </c>
      <c r="F100" s="79">
        <v>0</v>
      </c>
      <c r="G100" s="79">
        <v>0</v>
      </c>
      <c r="H100" s="79">
        <v>0</v>
      </c>
      <c r="I100" s="79">
        <v>0</v>
      </c>
      <c r="J100" s="79">
        <v>0</v>
      </c>
      <c r="K100" s="79">
        <v>1</v>
      </c>
      <c r="L100" s="79">
        <v>0</v>
      </c>
      <c r="M100" s="79">
        <v>0</v>
      </c>
      <c r="N100" s="79">
        <v>0</v>
      </c>
      <c r="O100" s="79">
        <v>0</v>
      </c>
      <c r="P100" s="79">
        <v>0</v>
      </c>
      <c r="Q100" s="79">
        <v>0</v>
      </c>
      <c r="R100" s="79">
        <v>0</v>
      </c>
      <c r="S100" s="79">
        <v>0</v>
      </c>
      <c r="T100" s="79">
        <v>0</v>
      </c>
      <c r="U100" s="79">
        <v>0</v>
      </c>
      <c r="V100" s="79">
        <v>0</v>
      </c>
      <c r="W100" s="79">
        <v>0</v>
      </c>
      <c r="X100" s="79">
        <v>0</v>
      </c>
      <c r="Y100" s="79">
        <v>0</v>
      </c>
      <c r="Z100" s="79">
        <v>0</v>
      </c>
      <c r="AA100" s="79">
        <v>0</v>
      </c>
      <c r="AB100" s="79">
        <v>0</v>
      </c>
      <c r="AC100" s="79">
        <v>0</v>
      </c>
      <c r="AD100" s="79">
        <v>0</v>
      </c>
      <c r="AE100" s="79">
        <v>0</v>
      </c>
      <c r="AF100" s="79">
        <v>0</v>
      </c>
      <c r="AG100" s="79">
        <v>0</v>
      </c>
      <c r="AH100" s="79">
        <v>0</v>
      </c>
      <c r="AI100" s="79">
        <v>0</v>
      </c>
      <c r="AJ100" s="79">
        <v>0</v>
      </c>
      <c r="AK100" s="79">
        <v>0</v>
      </c>
      <c r="AL100" s="79">
        <v>0</v>
      </c>
      <c r="AM100" s="79">
        <v>0</v>
      </c>
      <c r="AN100" s="79">
        <v>0</v>
      </c>
      <c r="AO100" s="79">
        <v>0</v>
      </c>
      <c r="AP100" s="79">
        <v>0</v>
      </c>
      <c r="AQ100" s="79">
        <v>0</v>
      </c>
      <c r="AR100" s="79">
        <v>0</v>
      </c>
      <c r="AS100" s="79">
        <v>0</v>
      </c>
      <c r="AT100" s="79">
        <v>0</v>
      </c>
      <c r="AU100" s="79">
        <v>0</v>
      </c>
      <c r="AV100" s="79">
        <v>0</v>
      </c>
      <c r="AW100" s="79">
        <v>0</v>
      </c>
      <c r="AX100" s="79">
        <v>0</v>
      </c>
      <c r="AY100" s="79">
        <v>0</v>
      </c>
      <c r="AZ100" s="79">
        <v>0</v>
      </c>
      <c r="BA100" s="79">
        <v>0</v>
      </c>
      <c r="BB100" s="79">
        <v>0</v>
      </c>
      <c r="BC100" s="79">
        <v>0</v>
      </c>
      <c r="BD100" s="79">
        <v>0</v>
      </c>
      <c r="BE100" s="79">
        <v>0</v>
      </c>
      <c r="BF100" s="79">
        <v>0</v>
      </c>
      <c r="BG100" s="79">
        <v>0</v>
      </c>
      <c r="BH100" s="79">
        <v>0</v>
      </c>
      <c r="BI100" s="79">
        <v>0</v>
      </c>
      <c r="BJ100" s="79">
        <v>0</v>
      </c>
      <c r="BK100" s="79">
        <v>0</v>
      </c>
      <c r="BL100" s="79">
        <v>0</v>
      </c>
      <c r="BM100" s="79">
        <v>0</v>
      </c>
    </row>
  </sheetData>
  <conditionalFormatting sqref="A6:A15 A72:A99 A17:A69">
    <cfRule type="cellIs" dxfId="184" priority="116" operator="notBetween">
      <formula>-0.005</formula>
      <formula>0.005</formula>
    </cfRule>
    <cfRule type="cellIs" dxfId="183" priority="117" operator="between">
      <formula>-0.005</formula>
      <formula>0.005</formula>
    </cfRule>
  </conditionalFormatting>
  <conditionalFormatting sqref="E3:BM3">
    <cfRule type="cellIs" dxfId="182" priority="92" operator="lessThan">
      <formula>1</formula>
    </cfRule>
    <cfRule type="cellIs" dxfId="181" priority="93" operator="greaterThanOrEqual">
      <formula>1</formula>
    </cfRule>
  </conditionalFormatting>
  <conditionalFormatting sqref="E20:BM35 E76:BM100 E6:BM11 E18:BM18 E15:BM15 E13:BM13 E37:BM72">
    <cfRule type="cellIs" dxfId="180" priority="67" operator="equal">
      <formula>1</formula>
    </cfRule>
  </conditionalFormatting>
  <conditionalFormatting sqref="E20:BM35 E76:BM100 E6:BM11 E18:BM18 E15:BM15 E13:BM13 E37:BM72">
    <cfRule type="cellIs" dxfId="179" priority="66" stopIfTrue="1" operator="equal">
      <formula>0</formula>
    </cfRule>
  </conditionalFormatting>
  <conditionalFormatting sqref="E20:BM35 E76:BM100 E6:BM11 E18:BM18 E15:BM15 E13:BM13 E37:BM72">
    <cfRule type="containsBlanks" dxfId="178" priority="65" stopIfTrue="1">
      <formula>LEN(TRIM(E6))=0</formula>
    </cfRule>
  </conditionalFormatting>
  <conditionalFormatting sqref="A16">
    <cfRule type="cellIs" dxfId="177" priority="56" operator="notBetween">
      <formula>-0.005</formula>
      <formula>0.005</formula>
    </cfRule>
    <cfRule type="cellIs" dxfId="176" priority="57" operator="between">
      <formula>-0.005</formula>
      <formula>0.005</formula>
    </cfRule>
  </conditionalFormatting>
  <conditionalFormatting sqref="E16:BM16">
    <cfRule type="cellIs" dxfId="175" priority="60" operator="equal">
      <formula>1</formula>
    </cfRule>
  </conditionalFormatting>
  <conditionalFormatting sqref="E16:BM16">
    <cfRule type="cellIs" dxfId="174" priority="59" stopIfTrue="1" operator="equal">
      <formula>0</formula>
    </cfRule>
  </conditionalFormatting>
  <conditionalFormatting sqref="E16:BM16">
    <cfRule type="containsBlanks" dxfId="173" priority="58" stopIfTrue="1">
      <formula>LEN(TRIM(E16))=0</formula>
    </cfRule>
  </conditionalFormatting>
  <conditionalFormatting sqref="A70">
    <cfRule type="cellIs" dxfId="172" priority="42" operator="notBetween">
      <formula>-0.005</formula>
      <formula>0.005</formula>
    </cfRule>
    <cfRule type="cellIs" dxfId="171" priority="43" operator="between">
      <formula>-0.005</formula>
      <formula>0.005</formula>
    </cfRule>
  </conditionalFormatting>
  <conditionalFormatting sqref="E19:BM19">
    <cfRule type="cellIs" dxfId="170" priority="53" operator="equal">
      <formula>1</formula>
    </cfRule>
  </conditionalFormatting>
  <conditionalFormatting sqref="E19:BM19">
    <cfRule type="cellIs" dxfId="169" priority="52" stopIfTrue="1" operator="equal">
      <formula>0</formula>
    </cfRule>
  </conditionalFormatting>
  <conditionalFormatting sqref="E19:BM19">
    <cfRule type="containsBlanks" dxfId="168" priority="51" stopIfTrue="1">
      <formula>LEN(TRIM(E19))=0</formula>
    </cfRule>
  </conditionalFormatting>
  <conditionalFormatting sqref="A71">
    <cfRule type="cellIs" dxfId="167" priority="35" operator="notBetween">
      <formula>-0.005</formula>
      <formula>0.005</formula>
    </cfRule>
    <cfRule type="cellIs" dxfId="166" priority="36" operator="between">
      <formula>-0.005</formula>
      <formula>0.005</formula>
    </cfRule>
  </conditionalFormatting>
  <conditionalFormatting sqref="E36:BM36">
    <cfRule type="cellIs" dxfId="165" priority="46" operator="equal">
      <formula>1</formula>
    </cfRule>
  </conditionalFormatting>
  <conditionalFormatting sqref="E36:BM36">
    <cfRule type="cellIs" dxfId="164" priority="45" stopIfTrue="1" operator="equal">
      <formula>0</formula>
    </cfRule>
  </conditionalFormatting>
  <conditionalFormatting sqref="E36:BM36">
    <cfRule type="containsBlanks" dxfId="163" priority="44" stopIfTrue="1">
      <formula>LEN(TRIM(E36))=0</formula>
    </cfRule>
  </conditionalFormatting>
  <conditionalFormatting sqref="E73:BM73">
    <cfRule type="cellIs" dxfId="162" priority="39" operator="equal">
      <formula>1</formula>
    </cfRule>
  </conditionalFormatting>
  <conditionalFormatting sqref="E73:BM73">
    <cfRule type="cellIs" dxfId="161" priority="38" stopIfTrue="1" operator="equal">
      <formula>0</formula>
    </cfRule>
  </conditionalFormatting>
  <conditionalFormatting sqref="E73:BM73">
    <cfRule type="containsBlanks" dxfId="160" priority="37" stopIfTrue="1">
      <formula>LEN(TRIM(E73))=0</formula>
    </cfRule>
  </conditionalFormatting>
  <conditionalFormatting sqref="E75:BM75">
    <cfRule type="cellIs" dxfId="159" priority="32" operator="equal">
      <formula>1</formula>
    </cfRule>
  </conditionalFormatting>
  <conditionalFormatting sqref="E75:BM75">
    <cfRule type="cellIs" dxfId="158" priority="31" stopIfTrue="1" operator="equal">
      <formula>0</formula>
    </cfRule>
  </conditionalFormatting>
  <conditionalFormatting sqref="E75:BM75">
    <cfRule type="containsBlanks" dxfId="157" priority="30" stopIfTrue="1">
      <formula>LEN(TRIM(E75))=0</formula>
    </cfRule>
  </conditionalFormatting>
  <conditionalFormatting sqref="E5">
    <cfRule type="cellIs" dxfId="156" priority="29" operator="equal">
      <formula>1</formula>
    </cfRule>
  </conditionalFormatting>
  <conditionalFormatting sqref="E5">
    <cfRule type="cellIs" dxfId="155" priority="28" stopIfTrue="1" operator="equal">
      <formula>0</formula>
    </cfRule>
  </conditionalFormatting>
  <conditionalFormatting sqref="E5">
    <cfRule type="containsBlanks" dxfId="154" priority="27" stopIfTrue="1">
      <formula>LEN(TRIM(E5))=0</formula>
    </cfRule>
  </conditionalFormatting>
  <conditionalFormatting sqref="F5:BM5">
    <cfRule type="cellIs" dxfId="153" priority="26" operator="equal">
      <formula>1</formula>
    </cfRule>
  </conditionalFormatting>
  <conditionalFormatting sqref="F5:BM5">
    <cfRule type="cellIs" dxfId="152" priority="25" stopIfTrue="1" operator="equal">
      <formula>0</formula>
    </cfRule>
  </conditionalFormatting>
  <conditionalFormatting sqref="F5:BM5">
    <cfRule type="containsBlanks" dxfId="151" priority="24" stopIfTrue="1">
      <formula>LEN(TRIM(F5))=0</formula>
    </cfRule>
  </conditionalFormatting>
  <conditionalFormatting sqref="A5">
    <cfRule type="cellIs" dxfId="150" priority="22" operator="notBetween">
      <formula>-0.005</formula>
      <formula>0.005</formula>
    </cfRule>
    <cfRule type="cellIs" dxfId="149" priority="23" operator="between">
      <formula>-0.005</formula>
      <formula>0.005</formula>
    </cfRule>
  </conditionalFormatting>
  <conditionalFormatting sqref="C5:C100">
    <cfRule type="cellIs" dxfId="148" priority="20" operator="notEqual">
      <formula>1</formula>
    </cfRule>
    <cfRule type="cellIs" dxfId="147" priority="21" operator="equal">
      <formula>1</formula>
    </cfRule>
  </conditionalFormatting>
  <conditionalFormatting sqref="E17:BM17">
    <cfRule type="cellIs" dxfId="146" priority="19" operator="equal">
      <formula>1</formula>
    </cfRule>
  </conditionalFormatting>
  <conditionalFormatting sqref="E17:BM17">
    <cfRule type="cellIs" dxfId="145" priority="18" stopIfTrue="1" operator="equal">
      <formula>0</formula>
    </cfRule>
  </conditionalFormatting>
  <conditionalFormatting sqref="E17:BM17">
    <cfRule type="containsBlanks" dxfId="144" priority="17" stopIfTrue="1">
      <formula>LEN(TRIM(E17))=0</formula>
    </cfRule>
  </conditionalFormatting>
  <conditionalFormatting sqref="E14:BM14">
    <cfRule type="cellIs" dxfId="143" priority="16" operator="equal">
      <formula>1</formula>
    </cfRule>
  </conditionalFormatting>
  <conditionalFormatting sqref="E14:BM14">
    <cfRule type="cellIs" dxfId="142" priority="15" stopIfTrue="1" operator="equal">
      <formula>0</formula>
    </cfRule>
  </conditionalFormatting>
  <conditionalFormatting sqref="E14:BM14">
    <cfRule type="containsBlanks" dxfId="141" priority="14" stopIfTrue="1">
      <formula>LEN(TRIM(E14))=0</formula>
    </cfRule>
  </conditionalFormatting>
  <conditionalFormatting sqref="E12:BM12">
    <cfRule type="cellIs" dxfId="140" priority="13" operator="equal">
      <formula>1</formula>
    </cfRule>
  </conditionalFormatting>
  <conditionalFormatting sqref="E12:BM12">
    <cfRule type="cellIs" dxfId="139" priority="12" stopIfTrue="1" operator="equal">
      <formula>0</formula>
    </cfRule>
  </conditionalFormatting>
  <conditionalFormatting sqref="E12:BM12">
    <cfRule type="containsBlanks" dxfId="138" priority="11" stopIfTrue="1">
      <formula>LEN(TRIM(E12))=0</formula>
    </cfRule>
  </conditionalFormatting>
  <conditionalFormatting sqref="A100">
    <cfRule type="cellIs" dxfId="137" priority="9" operator="notBetween">
      <formula>-0.005</formula>
      <formula>0.005</formula>
    </cfRule>
    <cfRule type="cellIs" dxfId="136" priority="10" operator="between">
      <formula>-0.005</formula>
      <formula>0.005</formula>
    </cfRule>
  </conditionalFormatting>
  <conditionalFormatting sqref="E74:BL74">
    <cfRule type="cellIs" dxfId="135" priority="6" operator="equal">
      <formula>1</formula>
    </cfRule>
  </conditionalFormatting>
  <conditionalFormatting sqref="E74:BL74">
    <cfRule type="cellIs" dxfId="134" priority="5" stopIfTrue="1" operator="equal">
      <formula>0</formula>
    </cfRule>
  </conditionalFormatting>
  <conditionalFormatting sqref="E74:BL74">
    <cfRule type="containsBlanks" dxfId="133" priority="4" stopIfTrue="1">
      <formula>LEN(TRIM(E74))=0</formula>
    </cfRule>
  </conditionalFormatting>
  <conditionalFormatting sqref="BM74">
    <cfRule type="cellIs" dxfId="132" priority="3" operator="equal">
      <formula>1</formula>
    </cfRule>
  </conditionalFormatting>
  <conditionalFormatting sqref="BM74">
    <cfRule type="cellIs" dxfId="131" priority="2" stopIfTrue="1" operator="equal">
      <formula>0</formula>
    </cfRule>
  </conditionalFormatting>
  <conditionalFormatting sqref="BM74">
    <cfRule type="containsBlanks" dxfId="130" priority="1" stopIfTrue="1">
      <formula>LEN(TRIM(BM74))=0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103"/>
  <sheetViews>
    <sheetView topLeftCell="B1" workbookViewId="0">
      <pane xSplit="1" ySplit="7" topLeftCell="AA47" activePane="bottomRight" state="frozen"/>
      <selection activeCell="B1" sqref="B1"/>
      <selection pane="topRight" activeCell="C1" sqref="C1"/>
      <selection pane="bottomLeft" activeCell="B8" sqref="B8"/>
      <selection pane="bottomRight" activeCell="AI65" sqref="AI65"/>
    </sheetView>
  </sheetViews>
  <sheetFormatPr defaultRowHeight="15" x14ac:dyDescent="0.25"/>
  <cols>
    <col min="7" max="7" width="12.7109375" customWidth="1"/>
    <col min="9" max="9" width="12.7109375" style="79" customWidth="1"/>
    <col min="10" max="10" width="9.140625" style="79"/>
    <col min="11" max="11" width="12.7109375" style="79" customWidth="1"/>
    <col min="12" max="12" width="9.140625" style="79"/>
    <col min="13" max="13" width="12.7109375" style="79" customWidth="1"/>
    <col min="14" max="14" width="9.140625" style="79"/>
    <col min="16" max="16" width="9.140625" style="79"/>
    <col min="20" max="20" width="12.7109375" customWidth="1"/>
    <col min="33" max="34" width="9.140625" style="79"/>
    <col min="35" max="35" width="31.42578125" bestFit="1" customWidth="1"/>
    <col min="38" max="38" width="23" bestFit="1" customWidth="1"/>
  </cols>
  <sheetData>
    <row r="1" spans="1:39" s="79" customFormat="1" ht="23.25" x14ac:dyDescent="0.35">
      <c r="B1" s="88" t="s">
        <v>246</v>
      </c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Q1" s="87" t="s">
        <v>245</v>
      </c>
      <c r="R1" s="86"/>
      <c r="S1" s="86"/>
      <c r="T1" s="86"/>
      <c r="U1" s="86"/>
      <c r="V1" s="86"/>
      <c r="W1" s="86"/>
      <c r="X1" s="86"/>
      <c r="Y1" s="86"/>
      <c r="Z1" s="86"/>
      <c r="AA1" s="86"/>
      <c r="AJ1" s="98"/>
    </row>
    <row r="2" spans="1:39" s="79" customFormat="1" ht="45" x14ac:dyDescent="0.25">
      <c r="G2" s="79" t="s">
        <v>243</v>
      </c>
      <c r="I2" s="79" t="s">
        <v>247</v>
      </c>
      <c r="K2" s="79" t="s">
        <v>248</v>
      </c>
      <c r="M2" s="79" t="s">
        <v>249</v>
      </c>
      <c r="T2" s="79" t="s">
        <v>243</v>
      </c>
      <c r="V2" s="79" t="s">
        <v>247</v>
      </c>
      <c r="X2" s="117" t="s">
        <v>248</v>
      </c>
      <c r="Z2" s="79" t="s">
        <v>249</v>
      </c>
      <c r="AB2" s="117" t="s">
        <v>260</v>
      </c>
      <c r="AD2" s="117" t="s">
        <v>390</v>
      </c>
      <c r="AF2" s="117" t="s">
        <v>262</v>
      </c>
      <c r="AG2" s="79" t="s">
        <v>270</v>
      </c>
      <c r="AI2" s="79" t="s">
        <v>263</v>
      </c>
      <c r="AJ2" s="98"/>
    </row>
    <row r="3" spans="1:39" s="79" customFormat="1" x14ac:dyDescent="0.25">
      <c r="S3" s="79">
        <v>1</v>
      </c>
      <c r="T3" s="79">
        <v>2</v>
      </c>
      <c r="U3" s="79">
        <v>3</v>
      </c>
      <c r="V3" s="79">
        <v>4</v>
      </c>
      <c r="W3" s="79">
        <v>5</v>
      </c>
      <c r="X3" s="79">
        <v>6</v>
      </c>
      <c r="Y3" s="79">
        <v>7</v>
      </c>
      <c r="Z3" s="79">
        <v>8</v>
      </c>
      <c r="AA3" s="79">
        <v>9</v>
      </c>
      <c r="AB3" s="79">
        <v>10</v>
      </c>
      <c r="AC3" s="79">
        <v>11</v>
      </c>
      <c r="AD3" s="79">
        <v>12</v>
      </c>
      <c r="AE3" s="79">
        <v>13</v>
      </c>
      <c r="AF3" s="79">
        <v>14</v>
      </c>
      <c r="AG3" s="79">
        <v>15</v>
      </c>
      <c r="AH3" s="79">
        <v>16</v>
      </c>
      <c r="AI3" s="79">
        <v>17</v>
      </c>
      <c r="AJ3" s="98"/>
    </row>
    <row r="4" spans="1:39" s="79" customFormat="1" x14ac:dyDescent="0.25">
      <c r="G4" s="58" t="str">
        <f>MID(G5,5,3)</f>
        <v>EOY</v>
      </c>
      <c r="H4" s="58"/>
      <c r="I4" s="58" t="str">
        <f>MID(I5,5,3)</f>
        <v>YTD</v>
      </c>
      <c r="J4" s="58"/>
      <c r="K4" s="58" t="str">
        <f>MID(K5,5,3)</f>
        <v>YTD</v>
      </c>
      <c r="L4" s="58"/>
      <c r="M4" s="58" t="str">
        <f>MID(M5,5,3)</f>
        <v>MTD</v>
      </c>
      <c r="R4" t="s">
        <v>241</v>
      </c>
      <c r="T4" s="79" t="str">
        <f>G4</f>
        <v>EOY</v>
      </c>
      <c r="V4" s="79" t="str">
        <f>I4</f>
        <v>YTD</v>
      </c>
      <c r="X4" s="79" t="str">
        <f>K4</f>
        <v>YTD</v>
      </c>
      <c r="Z4" s="79" t="str">
        <f>M4</f>
        <v>MTD</v>
      </c>
      <c r="AB4" s="79" t="s">
        <v>259</v>
      </c>
      <c r="AD4" s="79" t="s">
        <v>258</v>
      </c>
      <c r="AG4" s="79" t="s">
        <v>153</v>
      </c>
      <c r="AJ4" s="98"/>
    </row>
    <row r="5" spans="1:39" x14ac:dyDescent="0.25">
      <c r="G5" s="63" t="str">
        <f>INDEX(SageTrialBalance,1,G6)</f>
        <v>TTB-EOY-JAN-15</v>
      </c>
      <c r="I5" s="63" t="str">
        <f>INDEX(SageTrialBalance,1,I6)</f>
        <v>TTB-YTD-JAN-16</v>
      </c>
      <c r="K5" s="63" t="str">
        <f>INDEX(SageTrialBalance,1,K6)</f>
        <v>TTB-YTD-DEC-15</v>
      </c>
      <c r="M5" s="63" t="str">
        <f>INDEX(SageTrialBalance,1,M6)</f>
        <v>TTB-MTD-JAN-16</v>
      </c>
      <c r="T5" s="79" t="str">
        <f>G5</f>
        <v>TTB-EOY-JAN-15</v>
      </c>
      <c r="U5" s="79"/>
      <c r="V5" s="79" t="str">
        <f>I5</f>
        <v>TTB-YTD-JAN-16</v>
      </c>
      <c r="W5" s="79"/>
      <c r="X5" s="79" t="str">
        <f>K5</f>
        <v>TTB-YTD-DEC-15</v>
      </c>
      <c r="Y5" s="79"/>
      <c r="Z5" s="79" t="str">
        <f>M5</f>
        <v>TTB-MTD-JAN-16</v>
      </c>
      <c r="AA5" s="79"/>
      <c r="AB5" s="79"/>
      <c r="AC5" s="79"/>
      <c r="AD5" s="79"/>
      <c r="AE5" s="79"/>
      <c r="AF5" s="79"/>
      <c r="AI5" s="79"/>
      <c r="AJ5" s="98"/>
      <c r="AK5" s="79"/>
      <c r="AL5" s="79"/>
      <c r="AM5" s="79"/>
    </row>
    <row r="6" spans="1:39" x14ac:dyDescent="0.25">
      <c r="B6" t="s">
        <v>240</v>
      </c>
      <c r="E6" t="s">
        <v>244</v>
      </c>
      <c r="G6" s="5">
        <f>TTB_TDD_OM</f>
        <v>54</v>
      </c>
      <c r="I6" s="5">
        <f>TTB_YTD</f>
        <v>41</v>
      </c>
      <c r="K6" s="5">
        <f>TTB_YTD_PM</f>
        <v>40</v>
      </c>
      <c r="M6" s="5">
        <f>TTB_MTD_CUR</f>
        <v>53</v>
      </c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I6" s="79"/>
      <c r="AJ6" s="79"/>
      <c r="AK6" s="79"/>
      <c r="AL6" s="79"/>
      <c r="AM6" s="79"/>
    </row>
    <row r="7" spans="1:39" x14ac:dyDescent="0.25">
      <c r="C7" t="s">
        <v>242</v>
      </c>
      <c r="G7" s="89">
        <f>SUM(G8:G103)</f>
        <v>2.3208102106764272E-10</v>
      </c>
      <c r="H7" s="70"/>
      <c r="I7" s="89">
        <f>SUM(I8:I103)</f>
        <v>1.1186784831807017E-10</v>
      </c>
      <c r="J7" s="70"/>
      <c r="K7" s="89">
        <f>SUM(K8:K103)</f>
        <v>3.2014213502407074E-10</v>
      </c>
      <c r="L7" s="70"/>
      <c r="M7" s="89">
        <f>SUM(M8:M103)</f>
        <v>1.0345502232667059E-11</v>
      </c>
      <c r="O7" t="s">
        <v>250</v>
      </c>
      <c r="T7" s="60">
        <f>SUM(T8:T95)</f>
        <v>3.3568881008250173E-10</v>
      </c>
      <c r="U7" s="79"/>
      <c r="V7" s="60">
        <f>SUM(V8:V95)</f>
        <v>1.5552359400317073E-10</v>
      </c>
      <c r="W7" s="79"/>
      <c r="X7" s="60">
        <f>SUM(X8:X95)</f>
        <v>3.7834979593753815E-10</v>
      </c>
      <c r="Y7" s="79"/>
      <c r="Z7" s="60">
        <f>SUM(Z8:Z95)</f>
        <v>-7.8443918027915061E-12</v>
      </c>
      <c r="AA7" s="79"/>
      <c r="AB7" s="60">
        <f>SUM(AB8:AB95)</f>
        <v>2.9103830456733704E-11</v>
      </c>
      <c r="AC7" s="79"/>
      <c r="AD7" s="60">
        <f>SUM(AD8:AD95)</f>
        <v>-7.73070496506989E-11</v>
      </c>
      <c r="AE7" s="79"/>
      <c r="AF7" s="79"/>
      <c r="AI7" s="79"/>
      <c r="AJ7" s="79"/>
      <c r="AK7" s="79"/>
      <c r="AL7" s="79"/>
      <c r="AM7" s="79"/>
    </row>
    <row r="8" spans="1:39" x14ac:dyDescent="0.25">
      <c r="A8" s="79"/>
      <c r="B8" s="84" t="s">
        <v>368</v>
      </c>
      <c r="E8">
        <f t="shared" ref="E8:E9" si="0">MATCH(B8,INDEX(SageTrialBalance,,1),0)</f>
        <v>2</v>
      </c>
      <c r="G8" s="59">
        <f t="shared" ref="G8:G43" si="1">INDEX(SageTrialBalance,$E8,G$6)</f>
        <v>-99500.83</v>
      </c>
      <c r="H8" s="58" t="str">
        <f>IF($C8,IF(G8&lt;&gt;0,"#Err#","ok"),"")</f>
        <v/>
      </c>
      <c r="I8" s="59">
        <f t="shared" ref="I8:I43" si="2">INDEX(SageTrialBalance,$E8,I$6)</f>
        <v>0</v>
      </c>
      <c r="J8" s="58" t="str">
        <f>IF($C8,IF(I8&lt;&gt;0,"#Err#","ok"),"")</f>
        <v/>
      </c>
      <c r="K8" s="59">
        <f t="shared" ref="K8:K43" si="3">INDEX(SageTrialBalance,$E8,K$6)</f>
        <v>0</v>
      </c>
      <c r="L8" s="58" t="str">
        <f>IF($C8,IF(K8&lt;&gt;0,"#Err#","ok"),"")</f>
        <v/>
      </c>
      <c r="M8" s="59">
        <f t="shared" ref="M8:M43" si="4">INDEX(SageTrialBalance,$E8,M$6)</f>
        <v>0</v>
      </c>
      <c r="N8" s="58" t="str">
        <f>IF($C8,IF(M8&lt;&gt;0,"#Err#","ok"),"")</f>
        <v/>
      </c>
      <c r="O8" s="89">
        <f>M8-(I8-K8)</f>
        <v>0</v>
      </c>
      <c r="Q8" s="60">
        <f>IF(R8=S8,0,1)</f>
        <v>0</v>
      </c>
      <c r="R8">
        <f t="array" ref="R8:R68">TRANSPOSE('TX-MIS'!E4:BN4)</f>
        <v>10</v>
      </c>
      <c r="S8" s="79">
        <v>10</v>
      </c>
      <c r="T8">
        <f t="array" ref="T8:T68">TRANSPOSE(MMULT(TRANSPOSE(G8:G103),TB_Matrix))</f>
        <v>-9926.0000000000036</v>
      </c>
      <c r="U8" s="79"/>
      <c r="V8" s="79">
        <f t="array" ref="V8:V68">TRANSPOSE(MMULT(TRANSPOSE(I8:I103),TB_Matrix))</f>
        <v>-687.54</v>
      </c>
      <c r="W8" s="79"/>
      <c r="X8" s="79">
        <f t="array" ref="X8:X68">TRANSPOSE(MMULT(TRANSPOSE(K8:K103),TB_Matrix))</f>
        <v>-687.54</v>
      </c>
      <c r="Y8" s="79"/>
      <c r="Z8" s="79">
        <f t="array" ref="Z8:Z68">TRANSPOSE(MMULT(TRANSPOSE(M8:M103),TB_Matrix))</f>
        <v>0</v>
      </c>
      <c r="AA8" s="79"/>
      <c r="AB8" s="79">
        <f>X8-T8</f>
        <v>9238.4600000000028</v>
      </c>
      <c r="AC8" s="79"/>
      <c r="AD8" s="79">
        <f>V8-T8</f>
        <v>9238.4600000000028</v>
      </c>
      <c r="AE8" s="79"/>
      <c r="AF8" s="97" t="s">
        <v>264</v>
      </c>
      <c r="AG8" s="97">
        <v>-1</v>
      </c>
      <c r="AH8" s="97" t="str">
        <f>IF(AG8=1,IF(V8&gt;=0,"ok","-ve"),IF(AG8=-1,IF(V8&lt;=0,"ok","+ve"),"#err#"))</f>
        <v>ok</v>
      </c>
      <c r="AI8" s="50" t="s">
        <v>49</v>
      </c>
      <c r="AJ8" s="79"/>
      <c r="AK8" s="79"/>
      <c r="AL8" s="79"/>
      <c r="AM8" s="79"/>
    </row>
    <row r="9" spans="1:39" x14ac:dyDescent="0.25">
      <c r="A9" s="79"/>
      <c r="B9" s="84" t="s">
        <v>218</v>
      </c>
      <c r="C9" s="79"/>
      <c r="D9" s="79"/>
      <c r="E9" s="79">
        <f t="shared" si="0"/>
        <v>3</v>
      </c>
      <c r="F9" s="79"/>
      <c r="G9" s="59">
        <f t="shared" si="1"/>
        <v>99430.83</v>
      </c>
      <c r="H9" s="58" t="str">
        <f>IF($C9,IF(G9&lt;&gt;0,"#Err#","ok"),"")</f>
        <v/>
      </c>
      <c r="I9" s="59">
        <f t="shared" si="2"/>
        <v>0</v>
      </c>
      <c r="J9" s="58" t="str">
        <f>IF($C9,IF(I9&lt;&gt;0,"#Err#","ok"),"")</f>
        <v/>
      </c>
      <c r="K9" s="59">
        <f t="shared" si="3"/>
        <v>0</v>
      </c>
      <c r="L9" s="58" t="str">
        <f>IF($C9,IF(K9&lt;&gt;0,"#Err#","ok"),"")</f>
        <v/>
      </c>
      <c r="M9" s="59">
        <f t="shared" si="4"/>
        <v>0</v>
      </c>
      <c r="N9" s="58" t="str">
        <f>IF($C9,IF(M9&lt;&gt;0,"#Err#","ok"),"")</f>
        <v/>
      </c>
      <c r="O9" s="89">
        <f>M9-(I9-K9)</f>
        <v>0</v>
      </c>
      <c r="Q9" s="60">
        <f t="shared" ref="Q9:Q68" si="5">IF(R9=S9,0,1)</f>
        <v>0</v>
      </c>
      <c r="R9">
        <v>1001</v>
      </c>
      <c r="S9" s="79">
        <v>1001</v>
      </c>
      <c r="T9">
        <v>-365591.23</v>
      </c>
      <c r="U9" s="79"/>
      <c r="V9" s="79">
        <v>101144.25</v>
      </c>
      <c r="W9" s="79"/>
      <c r="X9" s="79">
        <v>129604.81000000001</v>
      </c>
      <c r="Y9" s="79"/>
      <c r="Z9" s="79">
        <v>-28460.560000000001</v>
      </c>
      <c r="AA9" s="79"/>
      <c r="AB9" s="79">
        <f t="shared" ref="AB9:AB68" si="6">X9-T9</f>
        <v>495196.04</v>
      </c>
      <c r="AC9" s="79"/>
      <c r="AD9" s="79">
        <f t="shared" ref="AD9:AD68" si="7">V9-T9</f>
        <v>466735.48</v>
      </c>
      <c r="AE9" s="79"/>
      <c r="AF9" s="97" t="s">
        <v>264</v>
      </c>
      <c r="AG9" s="97">
        <v>-1</v>
      </c>
      <c r="AH9" s="97" t="str">
        <f t="shared" ref="AH9:AH67" si="8">IF(AG9=1,IF(V9&gt;=0,"ok","-ve"),IF(AG9=-1,IF(V9&lt;=0,"ok","+ve"),"#err#"))</f>
        <v>+ve</v>
      </c>
      <c r="AI9" s="50" t="s">
        <v>51</v>
      </c>
      <c r="AJ9" s="79"/>
      <c r="AK9" s="79"/>
      <c r="AL9" s="79"/>
      <c r="AM9" s="79"/>
    </row>
    <row r="10" spans="1:39" x14ac:dyDescent="0.25">
      <c r="A10" s="79"/>
      <c r="B10" s="84" t="s">
        <v>219</v>
      </c>
      <c r="E10" s="79">
        <f t="shared" ref="E10:E41" si="9">MATCH(B10,INDEX(SageTrialBalance,,1),0)</f>
        <v>4</v>
      </c>
      <c r="G10" s="59">
        <f t="shared" si="1"/>
        <v>-82238.2</v>
      </c>
      <c r="H10" s="58" t="str">
        <f t="shared" ref="H10:H78" si="10">IF($C10,IF(G10&lt;&gt;0,"#Err#","ok"),"")</f>
        <v/>
      </c>
      <c r="I10" s="59">
        <f t="shared" si="2"/>
        <v>-687.54</v>
      </c>
      <c r="J10" s="58" t="str">
        <f t="shared" ref="J10:J78" si="11">IF($C10,IF(I10&lt;&gt;0,"#Err#","ok"),"")</f>
        <v/>
      </c>
      <c r="K10" s="59">
        <f t="shared" si="3"/>
        <v>-687.54</v>
      </c>
      <c r="L10" s="58" t="str">
        <f t="shared" ref="L10:L78" si="12">IF($C10,IF(K10&lt;&gt;0,"#Err#","ok"),"")</f>
        <v/>
      </c>
      <c r="M10" s="59">
        <f t="shared" si="4"/>
        <v>0</v>
      </c>
      <c r="N10" s="58" t="str">
        <f t="shared" ref="N10:N78" si="13">IF($C10,IF(M10&lt;&gt;0,"#Err#","ok"),"")</f>
        <v/>
      </c>
      <c r="O10" s="89">
        <f t="shared" ref="O10:O78" si="14">M10-(I10-K10)</f>
        <v>0</v>
      </c>
      <c r="Q10" s="60">
        <f t="shared" si="5"/>
        <v>0</v>
      </c>
      <c r="R10">
        <v>1100</v>
      </c>
      <c r="S10" s="79">
        <v>1100</v>
      </c>
      <c r="T10">
        <v>-303463.66000000003</v>
      </c>
      <c r="U10" s="79"/>
      <c r="V10" s="79">
        <v>105008.08</v>
      </c>
      <c r="W10" s="79"/>
      <c r="X10" s="79">
        <v>26437.24</v>
      </c>
      <c r="Y10" s="79"/>
      <c r="Z10" s="79">
        <v>78570.84</v>
      </c>
      <c r="AA10" s="79"/>
      <c r="AB10" s="79">
        <f t="shared" si="6"/>
        <v>329900.90000000002</v>
      </c>
      <c r="AC10" s="79"/>
      <c r="AD10" s="79">
        <f t="shared" si="7"/>
        <v>408471.74000000005</v>
      </c>
      <c r="AE10" s="79"/>
      <c r="AF10" s="97" t="s">
        <v>264</v>
      </c>
      <c r="AG10" s="97">
        <v>-1</v>
      </c>
      <c r="AH10" s="97" t="str">
        <f t="shared" si="8"/>
        <v>+ve</v>
      </c>
      <c r="AI10" s="50" t="s">
        <v>52</v>
      </c>
      <c r="AJ10" s="79"/>
      <c r="AK10" s="79"/>
      <c r="AL10" s="79"/>
      <c r="AM10" s="79"/>
    </row>
    <row r="11" spans="1:39" x14ac:dyDescent="0.25">
      <c r="A11" s="79"/>
      <c r="B11" s="84" t="s">
        <v>220</v>
      </c>
      <c r="E11" s="79">
        <f t="shared" si="9"/>
        <v>5</v>
      </c>
      <c r="G11" s="59">
        <f t="shared" si="1"/>
        <v>76699.199999999997</v>
      </c>
      <c r="H11" s="58" t="str">
        <f t="shared" si="10"/>
        <v/>
      </c>
      <c r="I11" s="59">
        <f t="shared" si="2"/>
        <v>0</v>
      </c>
      <c r="J11" s="58" t="str">
        <f t="shared" si="11"/>
        <v/>
      </c>
      <c r="K11" s="59">
        <f t="shared" si="3"/>
        <v>0</v>
      </c>
      <c r="L11" s="58" t="str">
        <f t="shared" si="12"/>
        <v/>
      </c>
      <c r="M11" s="59">
        <f t="shared" si="4"/>
        <v>0</v>
      </c>
      <c r="N11" s="58" t="str">
        <f t="shared" si="13"/>
        <v/>
      </c>
      <c r="O11" s="89">
        <f t="shared" si="14"/>
        <v>0</v>
      </c>
      <c r="Q11" s="60">
        <f t="shared" si="5"/>
        <v>0</v>
      </c>
      <c r="R11">
        <v>1102</v>
      </c>
      <c r="S11" s="79">
        <v>1102</v>
      </c>
      <c r="T11">
        <v>0</v>
      </c>
      <c r="U11" s="79"/>
      <c r="V11" s="79">
        <v>0</v>
      </c>
      <c r="W11" s="79"/>
      <c r="X11" s="79">
        <v>0</v>
      </c>
      <c r="Y11" s="79"/>
      <c r="Z11" s="79">
        <v>0</v>
      </c>
      <c r="AA11" s="79"/>
      <c r="AB11" s="79">
        <f t="shared" si="6"/>
        <v>0</v>
      </c>
      <c r="AC11" s="79"/>
      <c r="AD11" s="79">
        <f t="shared" si="7"/>
        <v>0</v>
      </c>
      <c r="AE11" s="79"/>
      <c r="AF11" s="97" t="s">
        <v>264</v>
      </c>
      <c r="AG11" s="97">
        <v>-1</v>
      </c>
      <c r="AH11" s="97" t="str">
        <f t="shared" si="8"/>
        <v>ok</v>
      </c>
      <c r="AI11" s="50" t="s">
        <v>53</v>
      </c>
      <c r="AJ11" s="79"/>
      <c r="AK11" s="79"/>
      <c r="AL11" s="79" t="s">
        <v>278</v>
      </c>
      <c r="AM11" s="79"/>
    </row>
    <row r="12" spans="1:39" x14ac:dyDescent="0.25">
      <c r="A12" s="79"/>
      <c r="B12" s="84" t="s">
        <v>221</v>
      </c>
      <c r="E12" s="79">
        <f t="shared" si="9"/>
        <v>6</v>
      </c>
      <c r="G12" s="59">
        <f t="shared" si="1"/>
        <v>-35180.33</v>
      </c>
      <c r="H12" s="58" t="str">
        <f t="shared" si="10"/>
        <v/>
      </c>
      <c r="I12" s="59">
        <f t="shared" si="2"/>
        <v>0</v>
      </c>
      <c r="J12" s="58" t="str">
        <f t="shared" si="11"/>
        <v/>
      </c>
      <c r="K12" s="59">
        <f t="shared" si="3"/>
        <v>0</v>
      </c>
      <c r="L12" s="58" t="str">
        <f t="shared" si="12"/>
        <v/>
      </c>
      <c r="M12" s="59">
        <f t="shared" si="4"/>
        <v>0</v>
      </c>
      <c r="N12" s="58" t="str">
        <f t="shared" si="13"/>
        <v/>
      </c>
      <c r="O12" s="89">
        <f t="shared" si="14"/>
        <v>0</v>
      </c>
      <c r="Q12" s="60">
        <f t="shared" si="5"/>
        <v>0</v>
      </c>
      <c r="R12">
        <v>1103</v>
      </c>
      <c r="S12" s="79">
        <v>1103</v>
      </c>
      <c r="T12">
        <v>30274.579999999998</v>
      </c>
      <c r="U12" s="79"/>
      <c r="V12" s="79">
        <v>-61840.58</v>
      </c>
      <c r="W12" s="79"/>
      <c r="X12" s="79">
        <v>-61455.66</v>
      </c>
      <c r="Y12" s="79"/>
      <c r="Z12" s="79">
        <v>-384.92</v>
      </c>
      <c r="AA12" s="79"/>
      <c r="AB12" s="79">
        <f t="shared" si="6"/>
        <v>-91730.240000000005</v>
      </c>
      <c r="AC12" s="79"/>
      <c r="AD12" s="79">
        <f t="shared" si="7"/>
        <v>-92115.16</v>
      </c>
      <c r="AE12" s="79"/>
      <c r="AF12" s="97" t="s">
        <v>264</v>
      </c>
      <c r="AG12" s="97">
        <v>-1</v>
      </c>
      <c r="AH12" s="97" t="str">
        <f t="shared" si="8"/>
        <v>ok</v>
      </c>
      <c r="AI12" s="50" t="s">
        <v>55</v>
      </c>
      <c r="AJ12" s="79"/>
      <c r="AK12" s="79"/>
      <c r="AL12" s="79">
        <f>COUNTA(AF30:AF68)</f>
        <v>39</v>
      </c>
      <c r="AM12" s="79"/>
    </row>
    <row r="13" spans="1:39" x14ac:dyDescent="0.25">
      <c r="A13" s="79"/>
      <c r="B13" s="84" t="s">
        <v>222</v>
      </c>
      <c r="E13" s="79">
        <f t="shared" si="9"/>
        <v>7</v>
      </c>
      <c r="G13" s="59">
        <f t="shared" si="1"/>
        <v>30863.329999999998</v>
      </c>
      <c r="H13" s="58" t="str">
        <f t="shared" si="10"/>
        <v/>
      </c>
      <c r="I13" s="59">
        <f t="shared" si="2"/>
        <v>0</v>
      </c>
      <c r="J13" s="58" t="str">
        <f t="shared" si="11"/>
        <v/>
      </c>
      <c r="K13" s="59">
        <f t="shared" si="3"/>
        <v>0</v>
      </c>
      <c r="L13" s="58" t="str">
        <f t="shared" si="12"/>
        <v/>
      </c>
      <c r="M13" s="59">
        <f t="shared" si="4"/>
        <v>0</v>
      </c>
      <c r="N13" s="58" t="str">
        <f t="shared" si="13"/>
        <v/>
      </c>
      <c r="O13" s="89">
        <f t="shared" si="14"/>
        <v>0</v>
      </c>
      <c r="Q13" s="60">
        <f t="shared" si="5"/>
        <v>0</v>
      </c>
      <c r="R13">
        <v>1115</v>
      </c>
      <c r="S13" s="79">
        <v>1115</v>
      </c>
      <c r="T13">
        <v>-65539.72</v>
      </c>
      <c r="U13" s="79"/>
      <c r="V13" s="79">
        <v>-2301.44</v>
      </c>
      <c r="W13" s="79"/>
      <c r="X13" s="79">
        <v>-2301.44</v>
      </c>
      <c r="Y13" s="79"/>
      <c r="Z13" s="79">
        <v>0</v>
      </c>
      <c r="AA13" s="79"/>
      <c r="AB13" s="79">
        <f t="shared" si="6"/>
        <v>63238.28</v>
      </c>
      <c r="AC13" s="79"/>
      <c r="AD13" s="79">
        <f t="shared" si="7"/>
        <v>63238.28</v>
      </c>
      <c r="AE13" s="79"/>
      <c r="AF13" s="97" t="s">
        <v>264</v>
      </c>
      <c r="AG13" s="97">
        <v>-1</v>
      </c>
      <c r="AH13" s="97" t="str">
        <f t="shared" si="8"/>
        <v>ok</v>
      </c>
      <c r="AI13" s="50" t="s">
        <v>54</v>
      </c>
      <c r="AJ13" s="79"/>
      <c r="AK13" s="79"/>
      <c r="AL13" s="79" t="s">
        <v>277</v>
      </c>
      <c r="AM13" s="79"/>
    </row>
    <row r="14" spans="1:39" x14ac:dyDescent="0.25">
      <c r="A14" s="79"/>
      <c r="B14" s="84" t="s">
        <v>119</v>
      </c>
      <c r="E14" s="79">
        <f t="shared" si="9"/>
        <v>8</v>
      </c>
      <c r="G14" s="59">
        <f t="shared" si="1"/>
        <v>-369083.38</v>
      </c>
      <c r="H14" s="58" t="str">
        <f t="shared" si="10"/>
        <v/>
      </c>
      <c r="I14" s="59">
        <f t="shared" si="2"/>
        <v>99149.06</v>
      </c>
      <c r="J14" s="58" t="str">
        <f t="shared" si="11"/>
        <v/>
      </c>
      <c r="K14" s="59">
        <f t="shared" si="3"/>
        <v>127609.63</v>
      </c>
      <c r="L14" s="58" t="str">
        <f t="shared" si="12"/>
        <v/>
      </c>
      <c r="M14" s="59">
        <f t="shared" si="4"/>
        <v>-28460.57</v>
      </c>
      <c r="N14" s="58" t="str">
        <f t="shared" si="13"/>
        <v/>
      </c>
      <c r="O14" s="89">
        <f t="shared" si="14"/>
        <v>0</v>
      </c>
      <c r="Q14" s="60">
        <f t="shared" si="5"/>
        <v>0</v>
      </c>
      <c r="R14">
        <v>1200</v>
      </c>
      <c r="S14" s="79">
        <v>1200</v>
      </c>
      <c r="T14">
        <v>-62751.02</v>
      </c>
      <c r="U14" s="79"/>
      <c r="V14" s="79">
        <v>-144515.07</v>
      </c>
      <c r="W14" s="79"/>
      <c r="X14" s="79">
        <v>-24734.900000000009</v>
      </c>
      <c r="Y14" s="79"/>
      <c r="Z14" s="79">
        <v>-119780.17</v>
      </c>
      <c r="AA14" s="79"/>
      <c r="AB14" s="79">
        <f t="shared" si="6"/>
        <v>38016.119999999988</v>
      </c>
      <c r="AC14" s="79"/>
      <c r="AD14" s="79">
        <f t="shared" si="7"/>
        <v>-81764.050000000017</v>
      </c>
      <c r="AE14" s="79"/>
      <c r="AF14" s="97" t="s">
        <v>264</v>
      </c>
      <c r="AG14" s="97">
        <v>-1</v>
      </c>
      <c r="AH14" s="97" t="str">
        <f t="shared" si="8"/>
        <v>ok</v>
      </c>
      <c r="AI14" s="50" t="s">
        <v>58</v>
      </c>
      <c r="AJ14" s="79"/>
      <c r="AK14" s="79"/>
      <c r="AL14" s="79">
        <f>COUNTA(AF8:AF29)</f>
        <v>22</v>
      </c>
      <c r="AM14" s="79"/>
    </row>
    <row r="15" spans="1:39" x14ac:dyDescent="0.25">
      <c r="A15" s="79"/>
      <c r="B15" s="84">
        <v>1004</v>
      </c>
      <c r="C15" s="79"/>
      <c r="D15" s="79"/>
      <c r="E15" s="79">
        <f t="shared" si="9"/>
        <v>9</v>
      </c>
      <c r="F15" s="79"/>
      <c r="G15" s="59">
        <f t="shared" si="1"/>
        <v>0</v>
      </c>
      <c r="H15" s="58" t="str">
        <f t="shared" si="10"/>
        <v/>
      </c>
      <c r="I15" s="59">
        <f t="shared" si="2"/>
        <v>0</v>
      </c>
      <c r="J15" s="58" t="str">
        <f t="shared" si="11"/>
        <v/>
      </c>
      <c r="K15" s="59">
        <f t="shared" si="3"/>
        <v>0</v>
      </c>
      <c r="L15" s="58" t="str">
        <f t="shared" si="12"/>
        <v/>
      </c>
      <c r="M15" s="59">
        <f t="shared" si="4"/>
        <v>0</v>
      </c>
      <c r="N15" s="58" t="str">
        <f t="shared" si="13"/>
        <v/>
      </c>
      <c r="O15" s="89">
        <f t="shared" ref="O15" si="15">M15-(I15-K15)</f>
        <v>0</v>
      </c>
      <c r="Q15" s="60">
        <f t="shared" si="5"/>
        <v>0</v>
      </c>
      <c r="R15">
        <v>1202</v>
      </c>
      <c r="S15" s="79">
        <v>1202</v>
      </c>
      <c r="T15">
        <v>-52297.939999999995</v>
      </c>
      <c r="U15" s="79"/>
      <c r="V15" s="79">
        <v>26124.5</v>
      </c>
      <c r="W15" s="79"/>
      <c r="X15" s="79">
        <v>-5972.3200000000006</v>
      </c>
      <c r="Y15" s="79"/>
      <c r="Z15" s="79">
        <v>32096.82</v>
      </c>
      <c r="AA15" s="79"/>
      <c r="AB15" s="79">
        <f t="shared" si="6"/>
        <v>46325.619999999995</v>
      </c>
      <c r="AC15" s="79"/>
      <c r="AD15" s="79">
        <f t="shared" si="7"/>
        <v>78422.44</v>
      </c>
      <c r="AE15" s="79"/>
      <c r="AF15" s="97" t="s">
        <v>264</v>
      </c>
      <c r="AG15" s="97">
        <v>-1</v>
      </c>
      <c r="AH15" s="97" t="str">
        <f t="shared" si="8"/>
        <v>+ve</v>
      </c>
      <c r="AI15" s="50" t="s">
        <v>59</v>
      </c>
      <c r="AJ15" s="79"/>
      <c r="AK15" s="79"/>
      <c r="AL15" s="79"/>
      <c r="AM15" s="79"/>
    </row>
    <row r="16" spans="1:39" x14ac:dyDescent="0.25">
      <c r="A16" s="79"/>
      <c r="B16" s="84" t="s">
        <v>118</v>
      </c>
      <c r="E16" s="79">
        <f t="shared" si="9"/>
        <v>10</v>
      </c>
      <c r="G16" s="59">
        <f t="shared" si="1"/>
        <v>-299624.41000000003</v>
      </c>
      <c r="H16" s="58" t="str">
        <f t="shared" si="10"/>
        <v/>
      </c>
      <c r="I16" s="59">
        <f t="shared" si="2"/>
        <v>105008.08</v>
      </c>
      <c r="J16" s="58" t="str">
        <f t="shared" si="11"/>
        <v/>
      </c>
      <c r="K16" s="59">
        <f t="shared" si="3"/>
        <v>26437.24</v>
      </c>
      <c r="L16" s="58" t="str">
        <f t="shared" si="12"/>
        <v/>
      </c>
      <c r="M16" s="59">
        <f t="shared" si="4"/>
        <v>78570.84</v>
      </c>
      <c r="N16" s="58" t="str">
        <f t="shared" si="13"/>
        <v/>
      </c>
      <c r="O16" s="89">
        <f t="shared" si="14"/>
        <v>0</v>
      </c>
      <c r="Q16" s="60">
        <f t="shared" si="5"/>
        <v>0</v>
      </c>
      <c r="R16">
        <v>1203</v>
      </c>
      <c r="S16" s="79">
        <v>1203</v>
      </c>
      <c r="T16">
        <v>0</v>
      </c>
      <c r="U16" s="79"/>
      <c r="V16" s="79">
        <v>0</v>
      </c>
      <c r="W16" s="79"/>
      <c r="X16" s="79">
        <v>0</v>
      </c>
      <c r="Y16" s="79"/>
      <c r="Z16" s="79">
        <v>0</v>
      </c>
      <c r="AA16" s="79"/>
      <c r="AB16" s="79">
        <f t="shared" si="6"/>
        <v>0</v>
      </c>
      <c r="AC16" s="79"/>
      <c r="AD16" s="79">
        <f t="shared" si="7"/>
        <v>0</v>
      </c>
      <c r="AE16" s="79"/>
      <c r="AF16" s="97" t="s">
        <v>264</v>
      </c>
      <c r="AG16" s="97">
        <v>-1</v>
      </c>
      <c r="AH16" s="97" t="str">
        <f t="shared" si="8"/>
        <v>ok</v>
      </c>
      <c r="AI16" s="50" t="s">
        <v>60</v>
      </c>
      <c r="AJ16" s="79"/>
      <c r="AK16" s="79"/>
      <c r="AL16" s="79"/>
      <c r="AM16" s="79"/>
    </row>
    <row r="17" spans="1:39" x14ac:dyDescent="0.25">
      <c r="A17" s="79"/>
      <c r="B17" s="84">
        <v>1101</v>
      </c>
      <c r="C17" s="79"/>
      <c r="D17" s="79"/>
      <c r="E17" s="79">
        <f t="shared" si="9"/>
        <v>11</v>
      </c>
      <c r="F17" s="79"/>
      <c r="G17" s="59">
        <f t="shared" si="1"/>
        <v>-3839.25</v>
      </c>
      <c r="H17" s="58" t="str">
        <f t="shared" si="10"/>
        <v/>
      </c>
      <c r="I17" s="59">
        <f t="shared" si="2"/>
        <v>0</v>
      </c>
      <c r="J17" s="58" t="str">
        <f t="shared" si="11"/>
        <v/>
      </c>
      <c r="K17" s="59">
        <f t="shared" si="3"/>
        <v>0</v>
      </c>
      <c r="L17" s="58" t="str">
        <f t="shared" si="12"/>
        <v/>
      </c>
      <c r="M17" s="59">
        <f t="shared" si="4"/>
        <v>0</v>
      </c>
      <c r="N17" s="58" t="str">
        <f t="shared" si="13"/>
        <v/>
      </c>
      <c r="O17" s="89">
        <f t="shared" ref="O17" si="16">M17-(I17-K17)</f>
        <v>0</v>
      </c>
      <c r="Q17" s="60">
        <f t="shared" si="5"/>
        <v>0</v>
      </c>
      <c r="R17">
        <v>1204</v>
      </c>
      <c r="S17" s="79">
        <v>1204</v>
      </c>
      <c r="T17">
        <v>-700</v>
      </c>
      <c r="U17" s="79"/>
      <c r="V17" s="79">
        <v>212.82999999999998</v>
      </c>
      <c r="W17" s="79"/>
      <c r="X17" s="79">
        <v>113.88</v>
      </c>
      <c r="Y17" s="79"/>
      <c r="Z17" s="79">
        <v>98.95</v>
      </c>
      <c r="AA17" s="79"/>
      <c r="AB17" s="79">
        <f t="shared" si="6"/>
        <v>813.88</v>
      </c>
      <c r="AC17" s="79"/>
      <c r="AD17" s="79">
        <f t="shared" si="7"/>
        <v>912.82999999999993</v>
      </c>
      <c r="AE17" s="79"/>
      <c r="AF17" s="97" t="s">
        <v>264</v>
      </c>
      <c r="AG17" s="97">
        <v>-1</v>
      </c>
      <c r="AH17" s="97" t="str">
        <f t="shared" si="8"/>
        <v>+ve</v>
      </c>
      <c r="AI17" s="50" t="s">
        <v>61</v>
      </c>
      <c r="AJ17" s="79"/>
      <c r="AK17" s="79"/>
      <c r="AL17" s="79"/>
      <c r="AM17" s="79"/>
    </row>
    <row r="18" spans="1:39" x14ac:dyDescent="0.25">
      <c r="A18" s="79"/>
      <c r="B18" s="84" t="s">
        <v>282</v>
      </c>
      <c r="C18" s="79" t="b">
        <v>1</v>
      </c>
      <c r="E18" s="79">
        <f t="shared" si="9"/>
        <v>12</v>
      </c>
      <c r="G18" s="59">
        <f t="shared" si="1"/>
        <v>0</v>
      </c>
      <c r="H18" s="58" t="str">
        <f t="shared" si="10"/>
        <v>ok</v>
      </c>
      <c r="I18" s="59">
        <f t="shared" si="2"/>
        <v>0</v>
      </c>
      <c r="J18" s="58" t="str">
        <f t="shared" si="11"/>
        <v>ok</v>
      </c>
      <c r="K18" s="59">
        <f t="shared" si="3"/>
        <v>0</v>
      </c>
      <c r="L18" s="58" t="str">
        <f t="shared" si="12"/>
        <v>ok</v>
      </c>
      <c r="M18" s="59">
        <f t="shared" si="4"/>
        <v>0</v>
      </c>
      <c r="N18" s="58" t="str">
        <f t="shared" si="13"/>
        <v>ok</v>
      </c>
      <c r="O18" s="89">
        <f t="shared" si="14"/>
        <v>0</v>
      </c>
      <c r="Q18" s="60">
        <f t="shared" si="5"/>
        <v>0</v>
      </c>
      <c r="R18">
        <v>2100</v>
      </c>
      <c r="S18" s="79">
        <v>2100</v>
      </c>
      <c r="T18">
        <v>42709.890000000007</v>
      </c>
      <c r="U18" s="79"/>
      <c r="V18" s="79">
        <v>-29837.68</v>
      </c>
      <c r="W18" s="79"/>
      <c r="X18" s="79">
        <v>-29228.99</v>
      </c>
      <c r="Y18" s="79"/>
      <c r="Z18" s="79">
        <v>-608.69000000000005</v>
      </c>
      <c r="AA18" s="79"/>
      <c r="AB18" s="79">
        <f t="shared" si="6"/>
        <v>-71938.880000000005</v>
      </c>
      <c r="AC18" s="79"/>
      <c r="AD18" s="79">
        <f t="shared" si="7"/>
        <v>-72547.570000000007</v>
      </c>
      <c r="AE18" s="79"/>
      <c r="AF18" s="97" t="s">
        <v>265</v>
      </c>
      <c r="AG18" s="97">
        <f>1</f>
        <v>1</v>
      </c>
      <c r="AH18" s="97" t="str">
        <f t="shared" si="8"/>
        <v>-ve</v>
      </c>
      <c r="AI18" s="50" t="s">
        <v>64</v>
      </c>
      <c r="AJ18" s="79"/>
      <c r="AK18" s="79"/>
      <c r="AL18" s="79"/>
      <c r="AM18" s="79"/>
    </row>
    <row r="19" spans="1:39" x14ac:dyDescent="0.25">
      <c r="A19" s="79"/>
      <c r="B19" s="102" t="s">
        <v>319</v>
      </c>
      <c r="E19" s="79">
        <f t="shared" si="9"/>
        <v>13</v>
      </c>
      <c r="G19" s="59">
        <f t="shared" si="1"/>
        <v>0</v>
      </c>
      <c r="H19" s="58" t="str">
        <f t="shared" si="10"/>
        <v/>
      </c>
      <c r="I19" s="59">
        <f t="shared" si="2"/>
        <v>0</v>
      </c>
      <c r="J19" s="58" t="str">
        <f t="shared" si="11"/>
        <v/>
      </c>
      <c r="K19" s="59">
        <f t="shared" si="3"/>
        <v>0</v>
      </c>
      <c r="L19" s="58" t="str">
        <f t="shared" si="12"/>
        <v/>
      </c>
      <c r="M19" s="59">
        <f t="shared" si="4"/>
        <v>0</v>
      </c>
      <c r="N19" s="58" t="str">
        <f t="shared" si="13"/>
        <v/>
      </c>
      <c r="O19" s="89">
        <f t="shared" si="14"/>
        <v>0</v>
      </c>
      <c r="Q19" s="60">
        <f t="shared" si="5"/>
        <v>0</v>
      </c>
      <c r="R19">
        <v>2103</v>
      </c>
      <c r="S19" s="79">
        <v>2103</v>
      </c>
      <c r="T19">
        <v>235301.85</v>
      </c>
      <c r="U19" s="79"/>
      <c r="V19" s="79">
        <v>-3895.92</v>
      </c>
      <c r="W19" s="79"/>
      <c r="X19" s="79">
        <v>-3895.92</v>
      </c>
      <c r="Y19" s="79"/>
      <c r="Z19" s="79">
        <v>0</v>
      </c>
      <c r="AA19" s="79"/>
      <c r="AB19" s="79">
        <f t="shared" si="6"/>
        <v>-239197.77000000002</v>
      </c>
      <c r="AC19" s="79"/>
      <c r="AD19" s="79">
        <f t="shared" si="7"/>
        <v>-239197.77000000002</v>
      </c>
      <c r="AE19" s="79"/>
      <c r="AF19" s="97" t="s">
        <v>265</v>
      </c>
      <c r="AG19" s="97">
        <f>1</f>
        <v>1</v>
      </c>
      <c r="AH19" s="97" t="str">
        <f t="shared" si="8"/>
        <v>-ve</v>
      </c>
      <c r="AI19" s="50" t="s">
        <v>73</v>
      </c>
      <c r="AJ19" s="79"/>
      <c r="AK19" s="79"/>
      <c r="AL19" s="79"/>
      <c r="AM19" s="79"/>
    </row>
    <row r="20" spans="1:39" x14ac:dyDescent="0.25">
      <c r="A20" s="79"/>
      <c r="B20" s="104">
        <v>1110</v>
      </c>
      <c r="C20" s="79"/>
      <c r="D20" s="79"/>
      <c r="E20" s="79">
        <f t="shared" si="9"/>
        <v>14</v>
      </c>
      <c r="F20" s="79"/>
      <c r="G20" s="59">
        <f t="shared" si="1"/>
        <v>-15315.670000000002</v>
      </c>
      <c r="H20" s="58" t="str">
        <f t="shared" si="10"/>
        <v/>
      </c>
      <c r="I20" s="59">
        <f t="shared" si="2"/>
        <v>0</v>
      </c>
      <c r="J20" s="58" t="str">
        <f t="shared" si="11"/>
        <v/>
      </c>
      <c r="K20" s="59">
        <f t="shared" si="3"/>
        <v>0</v>
      </c>
      <c r="L20" s="58" t="str">
        <f t="shared" si="12"/>
        <v/>
      </c>
      <c r="M20" s="59">
        <f t="shared" si="4"/>
        <v>0</v>
      </c>
      <c r="N20" s="58" t="str">
        <f t="shared" si="13"/>
        <v/>
      </c>
      <c r="O20" s="89">
        <f t="shared" ref="O20" si="17">M20-(I20-K20)</f>
        <v>0</v>
      </c>
      <c r="Q20" s="60">
        <f t="shared" si="5"/>
        <v>0</v>
      </c>
      <c r="R20">
        <v>2104</v>
      </c>
      <c r="S20" s="79">
        <v>2104</v>
      </c>
      <c r="T20">
        <v>-24214.329999999994</v>
      </c>
      <c r="U20" s="79"/>
      <c r="V20" s="79">
        <v>-1803.61</v>
      </c>
      <c r="W20" s="79"/>
      <c r="X20" s="79">
        <v>-1803.61</v>
      </c>
      <c r="Y20" s="79"/>
      <c r="Z20" s="79">
        <v>0</v>
      </c>
      <c r="AA20" s="79"/>
      <c r="AB20" s="79">
        <f t="shared" si="6"/>
        <v>22410.719999999994</v>
      </c>
      <c r="AC20" s="79"/>
      <c r="AD20" s="79">
        <f t="shared" si="7"/>
        <v>22410.719999999994</v>
      </c>
      <c r="AE20" s="79"/>
      <c r="AF20" s="97" t="s">
        <v>264</v>
      </c>
      <c r="AG20" s="97">
        <v>-1</v>
      </c>
      <c r="AH20" s="97" t="str">
        <f t="shared" si="8"/>
        <v>ok</v>
      </c>
      <c r="AI20" s="50" t="s">
        <v>57</v>
      </c>
      <c r="AJ20" s="79"/>
      <c r="AK20" s="79"/>
      <c r="AL20" s="79"/>
      <c r="AM20" s="79"/>
    </row>
    <row r="21" spans="1:39" x14ac:dyDescent="0.25">
      <c r="A21" s="79"/>
      <c r="B21" s="84" t="s">
        <v>223</v>
      </c>
      <c r="E21" s="79">
        <f t="shared" si="9"/>
        <v>15</v>
      </c>
      <c r="G21" s="59">
        <f t="shared" si="1"/>
        <v>-31310.359999999997</v>
      </c>
      <c r="H21" s="58" t="str">
        <f t="shared" si="10"/>
        <v/>
      </c>
      <c r="I21" s="59">
        <f t="shared" si="2"/>
        <v>-1479.2</v>
      </c>
      <c r="J21" s="58" t="str">
        <f t="shared" si="11"/>
        <v/>
      </c>
      <c r="K21" s="59">
        <f t="shared" si="3"/>
        <v>-1479.2</v>
      </c>
      <c r="L21" s="58" t="str">
        <f t="shared" si="12"/>
        <v/>
      </c>
      <c r="M21" s="59">
        <f t="shared" si="4"/>
        <v>0</v>
      </c>
      <c r="N21" s="58" t="str">
        <f t="shared" si="13"/>
        <v/>
      </c>
      <c r="O21" s="89">
        <f t="shared" si="14"/>
        <v>0</v>
      </c>
      <c r="Q21" s="60">
        <f t="shared" si="5"/>
        <v>0</v>
      </c>
      <c r="R21">
        <v>2105</v>
      </c>
      <c r="S21" s="79">
        <v>2105</v>
      </c>
      <c r="T21">
        <v>0</v>
      </c>
      <c r="U21" s="79"/>
      <c r="V21" s="79">
        <v>0</v>
      </c>
      <c r="W21" s="79"/>
      <c r="X21" s="79">
        <v>0</v>
      </c>
      <c r="Y21" s="79"/>
      <c r="Z21" s="79">
        <v>0</v>
      </c>
      <c r="AA21" s="79"/>
      <c r="AB21" s="79">
        <f t="shared" si="6"/>
        <v>0</v>
      </c>
      <c r="AC21" s="79"/>
      <c r="AD21" s="79">
        <f t="shared" si="7"/>
        <v>0</v>
      </c>
      <c r="AE21" s="79"/>
      <c r="AF21" s="97" t="s">
        <v>264</v>
      </c>
      <c r="AG21" s="97">
        <v>-1</v>
      </c>
      <c r="AH21" s="97" t="str">
        <f t="shared" si="8"/>
        <v>ok</v>
      </c>
      <c r="AI21" s="50" t="s">
        <v>56</v>
      </c>
      <c r="AJ21" s="79"/>
      <c r="AK21" s="79"/>
      <c r="AL21" s="79"/>
      <c r="AM21" s="79"/>
    </row>
    <row r="22" spans="1:39" x14ac:dyDescent="0.25">
      <c r="A22" s="79"/>
      <c r="B22" s="102" t="s">
        <v>320</v>
      </c>
      <c r="E22" s="79">
        <f t="shared" si="9"/>
        <v>16</v>
      </c>
      <c r="G22" s="59">
        <f t="shared" si="1"/>
        <v>-34229.360000000001</v>
      </c>
      <c r="H22" s="58" t="str">
        <f t="shared" si="10"/>
        <v/>
      </c>
      <c r="I22" s="59">
        <f t="shared" si="2"/>
        <v>-822.24</v>
      </c>
      <c r="J22" s="58" t="str">
        <f t="shared" si="11"/>
        <v/>
      </c>
      <c r="K22" s="59">
        <f t="shared" si="3"/>
        <v>-822.24</v>
      </c>
      <c r="L22" s="58" t="str">
        <f t="shared" si="12"/>
        <v/>
      </c>
      <c r="M22" s="59">
        <f t="shared" si="4"/>
        <v>0</v>
      </c>
      <c r="N22" s="58" t="str">
        <f t="shared" si="13"/>
        <v/>
      </c>
      <c r="O22" s="89">
        <f t="shared" si="14"/>
        <v>0</v>
      </c>
      <c r="Q22" s="60">
        <f t="shared" si="5"/>
        <v>0</v>
      </c>
      <c r="R22">
        <v>2106</v>
      </c>
      <c r="S22" s="79">
        <v>2106</v>
      </c>
      <c r="T22">
        <v>0</v>
      </c>
      <c r="U22" s="79"/>
      <c r="V22" s="79">
        <v>8563.3799999999992</v>
      </c>
      <c r="W22" s="79"/>
      <c r="X22" s="79">
        <v>0</v>
      </c>
      <c r="Y22" s="79"/>
      <c r="Z22" s="79">
        <v>8563.3799999999992</v>
      </c>
      <c r="AA22" s="79"/>
      <c r="AB22" s="79">
        <f t="shared" si="6"/>
        <v>0</v>
      </c>
      <c r="AC22" s="79"/>
      <c r="AD22" s="79">
        <f t="shared" si="7"/>
        <v>8563.3799999999992</v>
      </c>
      <c r="AE22" s="79"/>
      <c r="AF22" s="97" t="s">
        <v>265</v>
      </c>
      <c r="AG22" s="97">
        <f>1</f>
        <v>1</v>
      </c>
      <c r="AH22" s="97" t="str">
        <f t="shared" si="8"/>
        <v>ok</v>
      </c>
      <c r="AI22" s="50" t="s">
        <v>65</v>
      </c>
      <c r="AJ22" s="79"/>
      <c r="AK22" s="79"/>
      <c r="AL22" s="79"/>
      <c r="AM22" s="79"/>
    </row>
    <row r="23" spans="1:39" x14ac:dyDescent="0.25">
      <c r="A23" s="79"/>
      <c r="B23" s="84" t="s">
        <v>117</v>
      </c>
      <c r="E23" s="79">
        <f t="shared" si="9"/>
        <v>17</v>
      </c>
      <c r="G23" s="59">
        <f t="shared" si="1"/>
        <v>45590.25</v>
      </c>
      <c r="H23" s="58" t="str">
        <f t="shared" si="10"/>
        <v/>
      </c>
      <c r="I23" s="59">
        <f t="shared" si="2"/>
        <v>-61840.58</v>
      </c>
      <c r="J23" s="58" t="str">
        <f t="shared" si="11"/>
        <v/>
      </c>
      <c r="K23" s="59">
        <f t="shared" si="3"/>
        <v>-61455.66</v>
      </c>
      <c r="L23" s="58" t="str">
        <f t="shared" si="12"/>
        <v/>
      </c>
      <c r="M23" s="59">
        <f t="shared" si="4"/>
        <v>-384.92</v>
      </c>
      <c r="N23" s="58" t="str">
        <f t="shared" si="13"/>
        <v/>
      </c>
      <c r="O23" s="89">
        <f t="shared" si="14"/>
        <v>-1.7621459846850485E-12</v>
      </c>
      <c r="Q23" s="60">
        <f t="shared" si="5"/>
        <v>0</v>
      </c>
      <c r="R23">
        <v>2107</v>
      </c>
      <c r="S23" s="79">
        <v>2107</v>
      </c>
      <c r="T23">
        <v>4606.3099999999995</v>
      </c>
      <c r="U23" s="79"/>
      <c r="V23" s="79">
        <v>-1245.3999999999999</v>
      </c>
      <c r="W23" s="79"/>
      <c r="X23" s="79">
        <v>4702.3899999999994</v>
      </c>
      <c r="Y23" s="79"/>
      <c r="Z23" s="79">
        <v>-5947.79</v>
      </c>
      <c r="AA23" s="79"/>
      <c r="AB23" s="79">
        <f t="shared" si="6"/>
        <v>96.079999999999927</v>
      </c>
      <c r="AC23" s="79"/>
      <c r="AD23" s="79">
        <f t="shared" si="7"/>
        <v>-5851.7099999999991</v>
      </c>
      <c r="AE23" s="79"/>
      <c r="AF23" s="97" t="s">
        <v>265</v>
      </c>
      <c r="AG23" s="97">
        <f>1</f>
        <v>1</v>
      </c>
      <c r="AH23" s="97" t="str">
        <f t="shared" si="8"/>
        <v>-ve</v>
      </c>
      <c r="AI23" s="50" t="s">
        <v>66</v>
      </c>
      <c r="AJ23" s="79"/>
      <c r="AK23" s="79"/>
      <c r="AL23" s="79"/>
      <c r="AM23" s="79"/>
    </row>
    <row r="24" spans="1:39" x14ac:dyDescent="0.25">
      <c r="A24" s="79"/>
      <c r="B24" s="84" t="s">
        <v>116</v>
      </c>
      <c r="E24" s="79">
        <f t="shared" si="9"/>
        <v>18</v>
      </c>
      <c r="G24" s="59">
        <f t="shared" si="1"/>
        <v>-62751.020000000011</v>
      </c>
      <c r="H24" s="58" t="str">
        <f t="shared" si="10"/>
        <v/>
      </c>
      <c r="I24" s="59">
        <f t="shared" si="2"/>
        <v>-92833.34</v>
      </c>
      <c r="J24" s="58" t="str">
        <f t="shared" si="11"/>
        <v/>
      </c>
      <c r="K24" s="59">
        <f t="shared" si="3"/>
        <v>104727.23</v>
      </c>
      <c r="L24" s="58" t="str">
        <f t="shared" si="12"/>
        <v/>
      </c>
      <c r="M24" s="59">
        <f t="shared" si="4"/>
        <v>-197560.57</v>
      </c>
      <c r="N24" s="58" t="str">
        <f t="shared" si="13"/>
        <v/>
      </c>
      <c r="O24" s="89">
        <f t="shared" si="14"/>
        <v>0</v>
      </c>
      <c r="Q24" s="60">
        <f t="shared" si="5"/>
        <v>0</v>
      </c>
      <c r="R24">
        <v>2108</v>
      </c>
      <c r="S24" s="79">
        <v>2108</v>
      </c>
      <c r="T24">
        <v>27952.049999999963</v>
      </c>
      <c r="U24" s="79"/>
      <c r="V24" s="79">
        <v>13030.93</v>
      </c>
      <c r="W24" s="79"/>
      <c r="X24" s="79">
        <v>794.71000000000276</v>
      </c>
      <c r="Y24" s="79"/>
      <c r="Z24" s="79">
        <v>12236.220000000001</v>
      </c>
      <c r="AA24" s="79"/>
      <c r="AB24" s="79">
        <f t="shared" si="6"/>
        <v>-27157.33999999996</v>
      </c>
      <c r="AC24" s="79"/>
      <c r="AD24" s="79">
        <f t="shared" si="7"/>
        <v>-14921.119999999963</v>
      </c>
      <c r="AE24" s="79"/>
      <c r="AF24" s="97" t="s">
        <v>265</v>
      </c>
      <c r="AG24" s="97">
        <f>1</f>
        <v>1</v>
      </c>
      <c r="AH24" s="97" t="str">
        <f t="shared" si="8"/>
        <v>ok</v>
      </c>
      <c r="AI24" s="50" t="s">
        <v>67</v>
      </c>
      <c r="AJ24" s="79"/>
      <c r="AK24" s="79"/>
      <c r="AL24" s="79"/>
      <c r="AM24" s="79"/>
    </row>
    <row r="25" spans="1:39" x14ac:dyDescent="0.25">
      <c r="A25" s="79"/>
      <c r="B25" s="84" t="s">
        <v>144</v>
      </c>
      <c r="C25" s="79" t="b">
        <v>1</v>
      </c>
      <c r="E25" s="79">
        <f t="shared" si="9"/>
        <v>19</v>
      </c>
      <c r="G25" s="59">
        <f t="shared" si="1"/>
        <v>0</v>
      </c>
      <c r="H25" s="58" t="str">
        <f t="shared" si="10"/>
        <v>ok</v>
      </c>
      <c r="I25" s="59">
        <f t="shared" si="2"/>
        <v>0</v>
      </c>
      <c r="J25" s="58" t="str">
        <f t="shared" si="11"/>
        <v>ok</v>
      </c>
      <c r="K25" s="59">
        <f t="shared" si="3"/>
        <v>0</v>
      </c>
      <c r="L25" s="58" t="str">
        <f t="shared" si="12"/>
        <v>ok</v>
      </c>
      <c r="M25" s="59">
        <f t="shared" si="4"/>
        <v>0</v>
      </c>
      <c r="N25" s="58" t="str">
        <f t="shared" si="13"/>
        <v>ok</v>
      </c>
      <c r="O25" s="89">
        <f t="shared" si="14"/>
        <v>0</v>
      </c>
      <c r="Q25" s="60">
        <f t="shared" si="5"/>
        <v>0</v>
      </c>
      <c r="R25">
        <v>2109</v>
      </c>
      <c r="S25" s="79">
        <v>2109</v>
      </c>
      <c r="T25">
        <v>-15151.58</v>
      </c>
      <c r="U25" s="79"/>
      <c r="V25" s="79">
        <v>617.74</v>
      </c>
      <c r="W25" s="79"/>
      <c r="X25" s="79">
        <v>-11164.8</v>
      </c>
      <c r="Y25" s="79"/>
      <c r="Z25" s="79">
        <v>11782.54</v>
      </c>
      <c r="AA25" s="79"/>
      <c r="AB25" s="79">
        <f t="shared" si="6"/>
        <v>3986.7800000000007</v>
      </c>
      <c r="AC25" s="79"/>
      <c r="AD25" s="79">
        <f t="shared" si="7"/>
        <v>15769.32</v>
      </c>
      <c r="AE25" s="79"/>
      <c r="AF25" s="97" t="s">
        <v>265</v>
      </c>
      <c r="AG25" s="97">
        <f>1</f>
        <v>1</v>
      </c>
      <c r="AH25" s="97" t="str">
        <f t="shared" si="8"/>
        <v>ok</v>
      </c>
      <c r="AI25" s="50" t="s">
        <v>68</v>
      </c>
      <c r="AJ25" s="79"/>
      <c r="AK25" s="79"/>
      <c r="AL25" s="79"/>
      <c r="AM25" s="79"/>
    </row>
    <row r="26" spans="1:39" x14ac:dyDescent="0.25">
      <c r="A26" s="79"/>
      <c r="B26" s="84" t="s">
        <v>224</v>
      </c>
      <c r="C26" s="79" t="b">
        <v>1</v>
      </c>
      <c r="E26" s="79">
        <f t="shared" si="9"/>
        <v>20</v>
      </c>
      <c r="G26" s="59">
        <f t="shared" si="1"/>
        <v>0</v>
      </c>
      <c r="H26" s="58" t="str">
        <f t="shared" si="10"/>
        <v>ok</v>
      </c>
      <c r="I26" s="59">
        <f t="shared" si="2"/>
        <v>0</v>
      </c>
      <c r="J26" s="58" t="str">
        <f t="shared" si="11"/>
        <v>ok</v>
      </c>
      <c r="K26" s="59">
        <f t="shared" si="3"/>
        <v>0</v>
      </c>
      <c r="L26" s="58" t="str">
        <f t="shared" si="12"/>
        <v>ok</v>
      </c>
      <c r="M26" s="59">
        <f t="shared" si="4"/>
        <v>0</v>
      </c>
      <c r="N26" s="58" t="str">
        <f t="shared" si="13"/>
        <v>ok</v>
      </c>
      <c r="O26" s="89">
        <f t="shared" si="14"/>
        <v>0</v>
      </c>
      <c r="Q26" s="60">
        <f t="shared" si="5"/>
        <v>0</v>
      </c>
      <c r="R26">
        <v>2110</v>
      </c>
      <c r="S26" s="79">
        <v>2110</v>
      </c>
      <c r="T26">
        <v>0</v>
      </c>
      <c r="U26" s="79"/>
      <c r="V26" s="79">
        <v>0</v>
      </c>
      <c r="W26" s="79"/>
      <c r="X26" s="79">
        <v>0</v>
      </c>
      <c r="Y26" s="79"/>
      <c r="Z26" s="79">
        <v>0</v>
      </c>
      <c r="AA26" s="79"/>
      <c r="AB26" s="79">
        <f t="shared" si="6"/>
        <v>0</v>
      </c>
      <c r="AC26" s="79"/>
      <c r="AD26" s="79">
        <f t="shared" si="7"/>
        <v>0</v>
      </c>
      <c r="AE26" s="79"/>
      <c r="AF26" s="97" t="s">
        <v>265</v>
      </c>
      <c r="AG26" s="97">
        <f>1</f>
        <v>1</v>
      </c>
      <c r="AH26" s="97" t="str">
        <f t="shared" si="8"/>
        <v>ok</v>
      </c>
      <c r="AI26" s="50" t="s">
        <v>69</v>
      </c>
      <c r="AJ26" s="79"/>
      <c r="AK26" s="79"/>
      <c r="AL26" s="79"/>
      <c r="AM26" s="79"/>
    </row>
    <row r="27" spans="1:39" x14ac:dyDescent="0.25">
      <c r="A27" s="79"/>
      <c r="B27" s="84" t="s">
        <v>225</v>
      </c>
      <c r="E27" s="79">
        <f t="shared" si="9"/>
        <v>21</v>
      </c>
      <c r="G27" s="59">
        <f t="shared" si="1"/>
        <v>-52297.939999999995</v>
      </c>
      <c r="H27" s="58" t="str">
        <f t="shared" si="10"/>
        <v/>
      </c>
      <c r="I27" s="59">
        <f t="shared" si="2"/>
        <v>26124.5</v>
      </c>
      <c r="J27" s="58" t="str">
        <f t="shared" si="11"/>
        <v/>
      </c>
      <c r="K27" s="59">
        <f t="shared" si="3"/>
        <v>-5972.35</v>
      </c>
      <c r="L27" s="58" t="str">
        <f t="shared" si="12"/>
        <v/>
      </c>
      <c r="M27" s="59">
        <f t="shared" si="4"/>
        <v>32096.85</v>
      </c>
      <c r="N27" s="58" t="str">
        <f t="shared" si="13"/>
        <v/>
      </c>
      <c r="O27" s="89">
        <f t="shared" si="14"/>
        <v>0</v>
      </c>
      <c r="Q27" s="60">
        <f t="shared" si="5"/>
        <v>0</v>
      </c>
      <c r="R27">
        <v>2120</v>
      </c>
      <c r="S27" s="79">
        <v>2120</v>
      </c>
      <c r="T27">
        <v>100</v>
      </c>
      <c r="U27" s="79"/>
      <c r="V27" s="79">
        <v>0</v>
      </c>
      <c r="W27" s="79"/>
      <c r="X27" s="79">
        <v>0</v>
      </c>
      <c r="Y27" s="79"/>
      <c r="Z27" s="79">
        <v>0</v>
      </c>
      <c r="AA27" s="79"/>
      <c r="AB27" s="79">
        <f t="shared" si="6"/>
        <v>-100</v>
      </c>
      <c r="AC27" s="79"/>
      <c r="AD27" s="79">
        <f t="shared" si="7"/>
        <v>-100</v>
      </c>
      <c r="AE27" s="79"/>
      <c r="AF27" s="97" t="s">
        <v>266</v>
      </c>
      <c r="AG27" s="97">
        <f>1</f>
        <v>1</v>
      </c>
      <c r="AH27" s="97" t="str">
        <f t="shared" si="8"/>
        <v>ok</v>
      </c>
      <c r="AI27" s="50" t="s">
        <v>77</v>
      </c>
      <c r="AJ27" s="79"/>
      <c r="AK27" s="79"/>
      <c r="AL27" s="60">
        <f>SUM(AL30:AL31)</f>
        <v>-1.3642420526593924E-10</v>
      </c>
      <c r="AM27" s="79"/>
    </row>
    <row r="28" spans="1:39" x14ac:dyDescent="0.25">
      <c r="A28" s="79"/>
      <c r="B28" s="84" t="s">
        <v>115</v>
      </c>
      <c r="E28" s="79">
        <f t="shared" si="9"/>
        <v>22</v>
      </c>
      <c r="G28" s="59">
        <f t="shared" si="1"/>
        <v>0</v>
      </c>
      <c r="H28" s="58" t="str">
        <f t="shared" si="10"/>
        <v/>
      </c>
      <c r="I28" s="59">
        <f t="shared" si="2"/>
        <v>0</v>
      </c>
      <c r="J28" s="58" t="str">
        <f t="shared" si="11"/>
        <v/>
      </c>
      <c r="K28" s="59">
        <f t="shared" si="3"/>
        <v>0</v>
      </c>
      <c r="L28" s="58" t="str">
        <f t="shared" si="12"/>
        <v/>
      </c>
      <c r="M28" s="59">
        <f t="shared" si="4"/>
        <v>0</v>
      </c>
      <c r="N28" s="58" t="str">
        <f t="shared" si="13"/>
        <v/>
      </c>
      <c r="O28" s="89">
        <f t="shared" si="14"/>
        <v>0</v>
      </c>
      <c r="Q28" s="60">
        <f t="shared" si="5"/>
        <v>0</v>
      </c>
      <c r="R28">
        <v>2125</v>
      </c>
      <c r="S28" s="79">
        <v>2125</v>
      </c>
      <c r="T28">
        <v>0</v>
      </c>
      <c r="U28" s="79"/>
      <c r="V28" s="79">
        <v>0</v>
      </c>
      <c r="W28" s="79"/>
      <c r="X28" s="79">
        <v>0</v>
      </c>
      <c r="Y28" s="79"/>
      <c r="Z28" s="79">
        <v>0</v>
      </c>
      <c r="AA28" s="79"/>
      <c r="AB28" s="79">
        <f t="shared" si="6"/>
        <v>0</v>
      </c>
      <c r="AC28" s="79"/>
      <c r="AD28" s="79">
        <f t="shared" si="7"/>
        <v>0</v>
      </c>
      <c r="AE28" s="79"/>
      <c r="AF28" s="97" t="s">
        <v>266</v>
      </c>
      <c r="AG28" s="97">
        <f>1</f>
        <v>1</v>
      </c>
      <c r="AH28" s="97" t="str">
        <f t="shared" si="8"/>
        <v>ok</v>
      </c>
      <c r="AI28" s="50" t="s">
        <v>78</v>
      </c>
      <c r="AJ28" s="79"/>
      <c r="AK28" s="79"/>
      <c r="AL28" s="79" t="s">
        <v>258</v>
      </c>
      <c r="AM28" s="79"/>
    </row>
    <row r="29" spans="1:39" x14ac:dyDescent="0.25">
      <c r="A29" s="79"/>
      <c r="B29" s="84" t="s">
        <v>226</v>
      </c>
      <c r="E29" s="79">
        <f t="shared" si="9"/>
        <v>23</v>
      </c>
      <c r="G29" s="59">
        <f t="shared" si="1"/>
        <v>0</v>
      </c>
      <c r="H29" s="58" t="str">
        <f t="shared" si="10"/>
        <v/>
      </c>
      <c r="I29" s="59">
        <f t="shared" si="2"/>
        <v>0</v>
      </c>
      <c r="J29" s="58" t="str">
        <f t="shared" si="11"/>
        <v/>
      </c>
      <c r="K29" s="59">
        <f t="shared" si="3"/>
        <v>0</v>
      </c>
      <c r="L29" s="58" t="str">
        <f t="shared" si="12"/>
        <v/>
      </c>
      <c r="M29" s="59">
        <f t="shared" si="4"/>
        <v>0</v>
      </c>
      <c r="N29" s="58" t="str">
        <f t="shared" si="13"/>
        <v/>
      </c>
      <c r="O29" s="89">
        <f t="shared" si="14"/>
        <v>0</v>
      </c>
      <c r="Q29" s="60">
        <f t="shared" si="5"/>
        <v>0</v>
      </c>
      <c r="R29">
        <v>2126</v>
      </c>
      <c r="S29" s="79">
        <v>2126</v>
      </c>
      <c r="T29">
        <v>558690.80000000005</v>
      </c>
      <c r="U29" s="79"/>
      <c r="V29" s="79">
        <v>0</v>
      </c>
      <c r="W29" s="79"/>
      <c r="X29" s="79">
        <v>0</v>
      </c>
      <c r="Y29" s="79"/>
      <c r="Z29" s="79">
        <v>0</v>
      </c>
      <c r="AA29" s="79"/>
      <c r="AB29" s="79">
        <f t="shared" si="6"/>
        <v>-558690.80000000005</v>
      </c>
      <c r="AC29" s="79"/>
      <c r="AD29" s="79">
        <f t="shared" si="7"/>
        <v>-558690.80000000005</v>
      </c>
      <c r="AE29" s="79"/>
      <c r="AF29" s="97" t="s">
        <v>266</v>
      </c>
      <c r="AG29" s="97">
        <f>1</f>
        <v>1</v>
      </c>
      <c r="AH29" s="97" t="str">
        <f t="shared" si="8"/>
        <v>ok</v>
      </c>
      <c r="AI29" s="50" t="s">
        <v>79</v>
      </c>
      <c r="AJ29" s="79"/>
      <c r="AK29" s="79"/>
      <c r="AL29" s="79" t="s">
        <v>271</v>
      </c>
      <c r="AM29" s="79"/>
    </row>
    <row r="30" spans="1:39" x14ac:dyDescent="0.25">
      <c r="A30" s="79"/>
      <c r="B30" s="84" t="s">
        <v>227</v>
      </c>
      <c r="E30" s="79">
        <f t="shared" si="9"/>
        <v>24</v>
      </c>
      <c r="G30" s="59">
        <f t="shared" si="1"/>
        <v>-700</v>
      </c>
      <c r="H30" s="58" t="str">
        <f t="shared" si="10"/>
        <v/>
      </c>
      <c r="I30" s="59">
        <f t="shared" si="2"/>
        <v>151.41999999999999</v>
      </c>
      <c r="J30" s="58" t="str">
        <f t="shared" si="11"/>
        <v/>
      </c>
      <c r="K30" s="59">
        <f t="shared" si="3"/>
        <v>62.86</v>
      </c>
      <c r="L30" s="58" t="str">
        <f t="shared" si="12"/>
        <v/>
      </c>
      <c r="M30" s="59">
        <f t="shared" si="4"/>
        <v>88.56</v>
      </c>
      <c r="N30" s="58" t="str">
        <f t="shared" si="13"/>
        <v/>
      </c>
      <c r="O30" s="89">
        <f t="shared" si="14"/>
        <v>0</v>
      </c>
      <c r="Q30" s="60">
        <f t="shared" si="5"/>
        <v>0</v>
      </c>
      <c r="R30">
        <v>4000</v>
      </c>
      <c r="S30" s="79">
        <v>4000</v>
      </c>
      <c r="T30">
        <v>2.3283064365386963E-10</v>
      </c>
      <c r="U30" s="79"/>
      <c r="V30" s="79">
        <v>1656832.85</v>
      </c>
      <c r="W30" s="79"/>
      <c r="X30" s="79">
        <v>1496178.37</v>
      </c>
      <c r="Y30" s="79"/>
      <c r="Z30" s="79">
        <v>160654.48000000001</v>
      </c>
      <c r="AA30" s="79"/>
      <c r="AB30" s="79">
        <f t="shared" si="6"/>
        <v>1496178.3699999999</v>
      </c>
      <c r="AC30" s="79"/>
      <c r="AD30" s="79">
        <f t="shared" si="7"/>
        <v>1656832.8499999999</v>
      </c>
      <c r="AE30" s="79"/>
      <c r="AF30" s="97" t="s">
        <v>267</v>
      </c>
      <c r="AG30" s="97">
        <f>1</f>
        <v>1</v>
      </c>
      <c r="AH30" s="97" t="str">
        <f t="shared" si="8"/>
        <v>ok</v>
      </c>
      <c r="AI30" s="92" t="s">
        <v>4</v>
      </c>
      <c r="AJ30" s="1"/>
      <c r="AK30" s="79"/>
      <c r="AL30" s="100">
        <f>SUM(AD8:AD29)</f>
        <v>8574.4699999998556</v>
      </c>
      <c r="AM30" s="79" t="s">
        <v>273</v>
      </c>
    </row>
    <row r="31" spans="1:39" x14ac:dyDescent="0.25">
      <c r="A31" s="79"/>
      <c r="B31" s="84" t="s">
        <v>228</v>
      </c>
      <c r="E31" s="79">
        <f t="shared" si="9"/>
        <v>25</v>
      </c>
      <c r="G31" s="59">
        <f t="shared" si="1"/>
        <v>7.1054273576010019E-15</v>
      </c>
      <c r="H31" s="58" t="str">
        <f t="shared" si="10"/>
        <v/>
      </c>
      <c r="I31" s="59">
        <f t="shared" si="2"/>
        <v>61.41</v>
      </c>
      <c r="J31" s="58" t="str">
        <f t="shared" si="11"/>
        <v/>
      </c>
      <c r="K31" s="59">
        <f t="shared" si="3"/>
        <v>51.02</v>
      </c>
      <c r="L31" s="58" t="str">
        <f t="shared" si="12"/>
        <v/>
      </c>
      <c r="M31" s="59">
        <f t="shared" si="4"/>
        <v>10.39</v>
      </c>
      <c r="N31" s="58" t="str">
        <f t="shared" si="13"/>
        <v/>
      </c>
      <c r="O31" s="89">
        <f t="shared" si="14"/>
        <v>0</v>
      </c>
      <c r="Q31" s="60">
        <f t="shared" si="5"/>
        <v>0</v>
      </c>
      <c r="R31">
        <v>4009</v>
      </c>
      <c r="S31" s="79">
        <v>4009</v>
      </c>
      <c r="T31">
        <v>0</v>
      </c>
      <c r="U31" s="79"/>
      <c r="V31" s="79">
        <v>-37785.879999999997</v>
      </c>
      <c r="W31" s="79"/>
      <c r="X31" s="79">
        <v>-34550.9</v>
      </c>
      <c r="Y31" s="79"/>
      <c r="Z31" s="79">
        <v>-3234.98</v>
      </c>
      <c r="AA31" s="79"/>
      <c r="AB31" s="79">
        <f t="shared" si="6"/>
        <v>-34550.9</v>
      </c>
      <c r="AC31" s="79"/>
      <c r="AD31" s="79">
        <f t="shared" si="7"/>
        <v>-37785.879999999997</v>
      </c>
      <c r="AE31" s="79"/>
      <c r="AF31" s="97" t="s">
        <v>269</v>
      </c>
      <c r="AG31" s="97">
        <v>-1</v>
      </c>
      <c r="AH31" s="97" t="str">
        <f t="shared" si="8"/>
        <v>ok</v>
      </c>
      <c r="AI31" s="93" t="s">
        <v>44</v>
      </c>
      <c r="AJ31" s="1"/>
      <c r="AK31" s="79"/>
      <c r="AL31" s="100">
        <f>SUM(AD30:AD68)</f>
        <v>-8574.4699999999921</v>
      </c>
      <c r="AM31" s="79" t="s">
        <v>272</v>
      </c>
    </row>
    <row r="32" spans="1:39" x14ac:dyDescent="0.25">
      <c r="A32" s="79"/>
      <c r="B32" s="84" t="s">
        <v>158</v>
      </c>
      <c r="E32" s="79">
        <f t="shared" si="9"/>
        <v>26</v>
      </c>
      <c r="G32" s="59">
        <f t="shared" si="1"/>
        <v>0</v>
      </c>
      <c r="H32" s="58" t="str">
        <f t="shared" si="10"/>
        <v/>
      </c>
      <c r="I32" s="59">
        <f t="shared" si="2"/>
        <v>156.84</v>
      </c>
      <c r="J32" s="58" t="str">
        <f t="shared" si="11"/>
        <v/>
      </c>
      <c r="K32" s="59">
        <f t="shared" si="3"/>
        <v>76.42</v>
      </c>
      <c r="L32" s="58" t="str">
        <f t="shared" si="12"/>
        <v/>
      </c>
      <c r="M32" s="59">
        <f t="shared" si="4"/>
        <v>80.42</v>
      </c>
      <c r="N32" s="58" t="str">
        <f t="shared" si="13"/>
        <v/>
      </c>
      <c r="O32" s="89">
        <f t="shared" si="14"/>
        <v>0</v>
      </c>
      <c r="Q32" s="60">
        <f t="shared" si="5"/>
        <v>0</v>
      </c>
      <c r="R32">
        <v>4905</v>
      </c>
      <c r="S32" s="79">
        <v>4905</v>
      </c>
      <c r="T32">
        <v>0</v>
      </c>
      <c r="U32" s="79"/>
      <c r="V32" s="79">
        <v>-39515.32</v>
      </c>
      <c r="W32" s="79"/>
      <c r="X32" s="79">
        <v>-35866.660000000003</v>
      </c>
      <c r="Y32" s="79"/>
      <c r="Z32" s="79">
        <v>-3648.66</v>
      </c>
      <c r="AA32" s="79"/>
      <c r="AB32" s="79">
        <f t="shared" si="6"/>
        <v>-35866.660000000003</v>
      </c>
      <c r="AC32" s="79"/>
      <c r="AD32" s="79">
        <f t="shared" si="7"/>
        <v>-39515.32</v>
      </c>
      <c r="AE32" s="79"/>
      <c r="AF32" s="97" t="s">
        <v>269</v>
      </c>
      <c r="AG32" s="97">
        <v>-1</v>
      </c>
      <c r="AH32" s="97" t="str">
        <f t="shared" si="8"/>
        <v>ok</v>
      </c>
      <c r="AI32" s="93" t="s">
        <v>40</v>
      </c>
      <c r="AJ32" s="1"/>
      <c r="AK32" s="79"/>
      <c r="AL32" s="79"/>
      <c r="AM32" s="79"/>
    </row>
    <row r="33" spans="1:39" x14ac:dyDescent="0.25">
      <c r="A33" s="79"/>
      <c r="B33" s="84" t="s">
        <v>132</v>
      </c>
      <c r="C33" s="79" t="b">
        <v>1</v>
      </c>
      <c r="E33" s="79">
        <f t="shared" si="9"/>
        <v>27</v>
      </c>
      <c r="G33" s="59">
        <f t="shared" si="1"/>
        <v>0</v>
      </c>
      <c r="H33" s="58" t="str">
        <f t="shared" si="10"/>
        <v>ok</v>
      </c>
      <c r="I33" s="59">
        <f t="shared" si="2"/>
        <v>3421.7</v>
      </c>
      <c r="J33" s="58" t="str">
        <f t="shared" si="11"/>
        <v>#Err#</v>
      </c>
      <c r="K33" s="59">
        <f t="shared" si="3"/>
        <v>-66738.97</v>
      </c>
      <c r="L33" s="58" t="str">
        <f t="shared" si="12"/>
        <v>#Err#</v>
      </c>
      <c r="M33" s="59">
        <f t="shared" si="4"/>
        <v>70160.67</v>
      </c>
      <c r="N33" s="58" t="str">
        <f t="shared" si="13"/>
        <v>#Err#</v>
      </c>
      <c r="O33" s="89">
        <f t="shared" si="14"/>
        <v>0</v>
      </c>
      <c r="Q33" s="60">
        <f t="shared" si="5"/>
        <v>0</v>
      </c>
      <c r="R33">
        <v>5000</v>
      </c>
      <c r="S33" s="79">
        <v>5000</v>
      </c>
      <c r="T33">
        <v>0</v>
      </c>
      <c r="U33" s="79"/>
      <c r="V33" s="79">
        <v>-1015669.54</v>
      </c>
      <c r="W33" s="79"/>
      <c r="X33" s="79">
        <v>-920189.26</v>
      </c>
      <c r="Y33" s="79"/>
      <c r="Z33" s="79">
        <v>-95480.28</v>
      </c>
      <c r="AA33" s="79"/>
      <c r="AB33" s="79">
        <f t="shared" si="6"/>
        <v>-920189.26</v>
      </c>
      <c r="AC33" s="79"/>
      <c r="AD33" s="79">
        <f t="shared" si="7"/>
        <v>-1015669.54</v>
      </c>
      <c r="AE33" s="79"/>
      <c r="AF33" s="97" t="s">
        <v>269</v>
      </c>
      <c r="AG33" s="97">
        <v>-1</v>
      </c>
      <c r="AH33" s="97" t="str">
        <f t="shared" si="8"/>
        <v>ok</v>
      </c>
      <c r="AI33" s="92" t="s">
        <v>5</v>
      </c>
      <c r="AJ33" s="1"/>
      <c r="AK33" s="79"/>
      <c r="AL33" s="79" t="s">
        <v>382</v>
      </c>
      <c r="AM33" s="79"/>
    </row>
    <row r="34" spans="1:39" x14ac:dyDescent="0.25">
      <c r="A34" s="79"/>
      <c r="B34" s="84" t="s">
        <v>159</v>
      </c>
      <c r="C34" s="79" t="b">
        <v>1</v>
      </c>
      <c r="E34" s="79">
        <f t="shared" si="9"/>
        <v>28</v>
      </c>
      <c r="G34" s="59">
        <f t="shared" si="1"/>
        <v>0</v>
      </c>
      <c r="H34" s="58" t="str">
        <f t="shared" si="10"/>
        <v>ok</v>
      </c>
      <c r="I34" s="59">
        <f t="shared" si="2"/>
        <v>0</v>
      </c>
      <c r="J34" s="58" t="str">
        <f t="shared" si="11"/>
        <v>ok</v>
      </c>
      <c r="K34" s="59">
        <f t="shared" si="3"/>
        <v>0.03</v>
      </c>
      <c r="L34" s="58" t="str">
        <f t="shared" si="12"/>
        <v>#Err#</v>
      </c>
      <c r="M34" s="59">
        <f t="shared" si="4"/>
        <v>-0.03</v>
      </c>
      <c r="N34" s="58" t="str">
        <f t="shared" si="13"/>
        <v>#Err#</v>
      </c>
      <c r="O34" s="89">
        <f t="shared" si="14"/>
        <v>0</v>
      </c>
      <c r="Q34" s="60">
        <f t="shared" si="5"/>
        <v>0</v>
      </c>
      <c r="R34">
        <v>5001</v>
      </c>
      <c r="S34" s="79">
        <v>5001</v>
      </c>
      <c r="T34">
        <v>0</v>
      </c>
      <c r="U34" s="79"/>
      <c r="V34" s="79">
        <v>0</v>
      </c>
      <c r="W34" s="79"/>
      <c r="X34" s="79">
        <v>0</v>
      </c>
      <c r="Y34" s="79"/>
      <c r="Z34" s="79">
        <v>0</v>
      </c>
      <c r="AA34" s="79"/>
      <c r="AB34" s="79">
        <f t="shared" si="6"/>
        <v>0</v>
      </c>
      <c r="AC34" s="79"/>
      <c r="AD34" s="79">
        <f t="shared" si="7"/>
        <v>0</v>
      </c>
      <c r="AE34" s="79"/>
      <c r="AF34" s="97" t="s">
        <v>269</v>
      </c>
      <c r="AG34" s="97">
        <v>-1</v>
      </c>
      <c r="AH34" s="97" t="str">
        <f t="shared" si="8"/>
        <v>ok</v>
      </c>
      <c r="AI34" s="93" t="s">
        <v>275</v>
      </c>
      <c r="AJ34" s="1"/>
      <c r="AK34" s="79"/>
      <c r="AL34" s="79" t="s">
        <v>271</v>
      </c>
      <c r="AM34" s="79"/>
    </row>
    <row r="35" spans="1:39" x14ac:dyDescent="0.25">
      <c r="A35" s="79"/>
      <c r="B35" s="84" t="s">
        <v>160</v>
      </c>
      <c r="E35" s="79">
        <f t="shared" si="9"/>
        <v>29</v>
      </c>
      <c r="G35" s="59">
        <f t="shared" si="1"/>
        <v>-293382.84999999998</v>
      </c>
      <c r="H35" s="58" t="str">
        <f t="shared" si="10"/>
        <v/>
      </c>
      <c r="I35" s="59">
        <f t="shared" si="2"/>
        <v>-252899.31</v>
      </c>
      <c r="J35" s="58" t="str">
        <f t="shared" si="11"/>
        <v/>
      </c>
      <c r="K35" s="59">
        <f t="shared" si="3"/>
        <v>-252899.31</v>
      </c>
      <c r="L35" s="58" t="str">
        <f t="shared" si="12"/>
        <v/>
      </c>
      <c r="M35" s="59">
        <f t="shared" si="4"/>
        <v>0</v>
      </c>
      <c r="N35" s="58" t="str">
        <f t="shared" si="13"/>
        <v/>
      </c>
      <c r="O35" s="89">
        <f t="shared" si="14"/>
        <v>0</v>
      </c>
      <c r="Q35" s="60">
        <f t="shared" si="5"/>
        <v>0</v>
      </c>
      <c r="R35">
        <v>6100</v>
      </c>
      <c r="S35" s="79">
        <v>6100</v>
      </c>
      <c r="T35">
        <v>9.0949470177292824E-13</v>
      </c>
      <c r="U35" s="79"/>
      <c r="V35" s="79">
        <v>-15686.32</v>
      </c>
      <c r="W35" s="79"/>
      <c r="X35" s="79">
        <v>-15659.9</v>
      </c>
      <c r="Y35" s="79"/>
      <c r="Z35" s="79">
        <v>-26.42</v>
      </c>
      <c r="AA35" s="79"/>
      <c r="AB35" s="79">
        <f t="shared" si="6"/>
        <v>-15659.900000000001</v>
      </c>
      <c r="AC35" s="79"/>
      <c r="AD35" s="79">
        <f t="shared" si="7"/>
        <v>-15686.32</v>
      </c>
      <c r="AE35" s="79"/>
      <c r="AF35" s="97" t="s">
        <v>268</v>
      </c>
      <c r="AG35" s="97">
        <v>-1</v>
      </c>
      <c r="AH35" s="97" t="str">
        <f t="shared" si="8"/>
        <v>ok</v>
      </c>
      <c r="AI35" s="93" t="s">
        <v>41</v>
      </c>
      <c r="AJ35" s="1"/>
      <c r="AK35" s="79"/>
      <c r="AL35" s="100">
        <f>SUM(T8:T29)</f>
        <v>0</v>
      </c>
      <c r="AM35" s="79"/>
    </row>
    <row r="36" spans="1:39" x14ac:dyDescent="0.25">
      <c r="A36" s="79"/>
      <c r="B36" s="84" t="s">
        <v>161</v>
      </c>
      <c r="E36" s="79">
        <f t="shared" si="9"/>
        <v>30</v>
      </c>
      <c r="G36" s="59">
        <f t="shared" si="1"/>
        <v>296875</v>
      </c>
      <c r="H36" s="58" t="str">
        <f t="shared" si="10"/>
        <v/>
      </c>
      <c r="I36" s="59">
        <f t="shared" si="2"/>
        <v>257425.44</v>
      </c>
      <c r="J36" s="58" t="str">
        <f t="shared" si="11"/>
        <v/>
      </c>
      <c r="K36" s="59">
        <f t="shared" si="3"/>
        <v>257425.44</v>
      </c>
      <c r="L36" s="58" t="str">
        <f t="shared" si="12"/>
        <v/>
      </c>
      <c r="M36" s="59">
        <f t="shared" si="4"/>
        <v>0</v>
      </c>
      <c r="N36" s="58" t="str">
        <f t="shared" si="13"/>
        <v/>
      </c>
      <c r="O36" s="89">
        <f t="shared" si="14"/>
        <v>0</v>
      </c>
      <c r="Q36" s="60">
        <f t="shared" si="5"/>
        <v>0</v>
      </c>
      <c r="R36">
        <v>6200</v>
      </c>
      <c r="S36" s="79">
        <v>6200</v>
      </c>
      <c r="T36">
        <v>0</v>
      </c>
      <c r="U36" s="79"/>
      <c r="V36" s="79">
        <v>-28912.41</v>
      </c>
      <c r="W36" s="79"/>
      <c r="X36" s="79">
        <v>-26024.18</v>
      </c>
      <c r="Y36" s="79"/>
      <c r="Z36" s="79">
        <v>-2888.23</v>
      </c>
      <c r="AA36" s="79"/>
      <c r="AB36" s="79">
        <f t="shared" si="6"/>
        <v>-26024.18</v>
      </c>
      <c r="AC36" s="79"/>
      <c r="AD36" s="79">
        <f t="shared" si="7"/>
        <v>-28912.41</v>
      </c>
      <c r="AE36" s="79"/>
      <c r="AF36" s="97" t="s">
        <v>268</v>
      </c>
      <c r="AG36" s="97">
        <v>-1</v>
      </c>
      <c r="AH36" s="97" t="str">
        <f t="shared" si="8"/>
        <v>ok</v>
      </c>
      <c r="AI36" s="93" t="s">
        <v>42</v>
      </c>
      <c r="AJ36" s="1"/>
      <c r="AK36" s="79"/>
      <c r="AL36" s="100">
        <f>SUM(T30:T68)</f>
        <v>2.1927348825556692E-10</v>
      </c>
      <c r="AM36" s="79"/>
    </row>
    <row r="37" spans="1:39" x14ac:dyDescent="0.25">
      <c r="A37" s="79"/>
      <c r="B37" s="84" t="s">
        <v>162</v>
      </c>
      <c r="C37" s="79" t="b">
        <v>1</v>
      </c>
      <c r="E37" s="79">
        <f t="shared" si="9"/>
        <v>31</v>
      </c>
      <c r="G37" s="59">
        <f t="shared" si="1"/>
        <v>0</v>
      </c>
      <c r="H37" s="58" t="str">
        <f t="shared" si="10"/>
        <v>ok</v>
      </c>
      <c r="I37" s="59">
        <f t="shared" si="2"/>
        <v>-55260.27</v>
      </c>
      <c r="J37" s="58" t="str">
        <f t="shared" si="11"/>
        <v>#Err#</v>
      </c>
      <c r="K37" s="59">
        <f t="shared" si="3"/>
        <v>-62799.58</v>
      </c>
      <c r="L37" s="58" t="str">
        <f t="shared" si="12"/>
        <v>#Err#</v>
      </c>
      <c r="M37" s="59">
        <f t="shared" si="4"/>
        <v>7539.31</v>
      </c>
      <c r="N37" s="58" t="str">
        <f t="shared" si="13"/>
        <v>#Err#</v>
      </c>
      <c r="O37" s="89">
        <f t="shared" si="14"/>
        <v>0</v>
      </c>
      <c r="Q37" s="60">
        <f t="shared" si="5"/>
        <v>0</v>
      </c>
      <c r="R37">
        <v>6201</v>
      </c>
      <c r="S37" s="79">
        <v>6201</v>
      </c>
      <c r="T37">
        <v>0</v>
      </c>
      <c r="U37" s="79"/>
      <c r="V37" s="79">
        <v>-6265.43</v>
      </c>
      <c r="W37" s="79"/>
      <c r="X37" s="79">
        <v>-6213.85</v>
      </c>
      <c r="Y37" s="79"/>
      <c r="Z37" s="79">
        <v>-51.58</v>
      </c>
      <c r="AA37" s="79"/>
      <c r="AB37" s="79">
        <f t="shared" si="6"/>
        <v>-6213.85</v>
      </c>
      <c r="AC37" s="79"/>
      <c r="AD37" s="79">
        <f t="shared" si="7"/>
        <v>-6265.43</v>
      </c>
      <c r="AE37" s="79"/>
      <c r="AF37" s="97" t="s">
        <v>268</v>
      </c>
      <c r="AG37" s="97">
        <v>-1</v>
      </c>
      <c r="AH37" s="97" t="str">
        <f t="shared" si="8"/>
        <v>ok</v>
      </c>
      <c r="AI37" s="93" t="s">
        <v>43</v>
      </c>
      <c r="AJ37" s="1"/>
      <c r="AK37" s="79"/>
      <c r="AL37" s="79"/>
      <c r="AM37" s="79"/>
    </row>
    <row r="38" spans="1:39" x14ac:dyDescent="0.25">
      <c r="A38" s="79"/>
      <c r="B38" s="84" t="s">
        <v>163</v>
      </c>
      <c r="C38" s="79" t="b">
        <v>1</v>
      </c>
      <c r="E38" s="79">
        <f t="shared" si="9"/>
        <v>32</v>
      </c>
      <c r="G38" s="59">
        <f t="shared" si="1"/>
        <v>0</v>
      </c>
      <c r="H38" s="58" t="str">
        <f t="shared" si="10"/>
        <v>ok</v>
      </c>
      <c r="I38" s="59">
        <f t="shared" si="2"/>
        <v>0</v>
      </c>
      <c r="J38" s="58" t="str">
        <f t="shared" si="11"/>
        <v>ok</v>
      </c>
      <c r="K38" s="59">
        <f t="shared" si="3"/>
        <v>0</v>
      </c>
      <c r="L38" s="58" t="str">
        <f t="shared" si="12"/>
        <v>ok</v>
      </c>
      <c r="M38" s="59">
        <f t="shared" si="4"/>
        <v>0</v>
      </c>
      <c r="N38" s="58" t="str">
        <f t="shared" si="13"/>
        <v>ok</v>
      </c>
      <c r="O38" s="89">
        <f t="shared" si="14"/>
        <v>0</v>
      </c>
      <c r="Q38" s="60">
        <f t="shared" si="5"/>
        <v>0</v>
      </c>
      <c r="R38">
        <v>7000</v>
      </c>
      <c r="S38" s="79">
        <v>7000</v>
      </c>
      <c r="T38">
        <v>-1.4551915228366852E-11</v>
      </c>
      <c r="U38" s="79"/>
      <c r="V38" s="79">
        <v>-115083.07</v>
      </c>
      <c r="W38" s="79"/>
      <c r="X38" s="79">
        <v>-106124.34</v>
      </c>
      <c r="Y38" s="79"/>
      <c r="Z38" s="79">
        <v>-8958.73</v>
      </c>
      <c r="AA38" s="79"/>
      <c r="AB38" s="79">
        <f t="shared" si="6"/>
        <v>-106124.33999999998</v>
      </c>
      <c r="AC38" s="79"/>
      <c r="AD38" s="79">
        <f t="shared" si="7"/>
        <v>-115083.06999999999</v>
      </c>
      <c r="AE38" s="79"/>
      <c r="AF38" s="97" t="s">
        <v>268</v>
      </c>
      <c r="AG38" s="97">
        <v>-1</v>
      </c>
      <c r="AH38" s="97" t="str">
        <f t="shared" si="8"/>
        <v>ok</v>
      </c>
      <c r="AI38" s="93" t="s">
        <v>6</v>
      </c>
      <c r="AJ38" s="1"/>
      <c r="AK38" s="79"/>
      <c r="AL38" s="79"/>
      <c r="AM38" s="79"/>
    </row>
    <row r="39" spans="1:39" x14ac:dyDescent="0.25">
      <c r="A39" s="79"/>
      <c r="B39" s="102" t="s">
        <v>321</v>
      </c>
      <c r="E39" s="79">
        <f t="shared" si="9"/>
        <v>33</v>
      </c>
      <c r="G39" s="59">
        <f t="shared" si="1"/>
        <v>0</v>
      </c>
      <c r="H39" s="58" t="str">
        <f t="shared" si="10"/>
        <v/>
      </c>
      <c r="I39" s="59">
        <f t="shared" si="2"/>
        <v>0</v>
      </c>
      <c r="J39" s="58" t="str">
        <f t="shared" si="11"/>
        <v/>
      </c>
      <c r="K39" s="59">
        <f t="shared" si="3"/>
        <v>0</v>
      </c>
      <c r="L39" s="58" t="str">
        <f t="shared" si="12"/>
        <v/>
      </c>
      <c r="M39" s="59">
        <f t="shared" si="4"/>
        <v>0</v>
      </c>
      <c r="N39" s="58" t="str">
        <f t="shared" si="13"/>
        <v/>
      </c>
      <c r="O39" s="89">
        <f t="shared" si="14"/>
        <v>0</v>
      </c>
      <c r="Q39" s="60">
        <f t="shared" si="5"/>
        <v>0</v>
      </c>
      <c r="R39">
        <v>7006</v>
      </c>
      <c r="S39" s="79">
        <v>7006</v>
      </c>
      <c r="T39">
        <v>0</v>
      </c>
      <c r="U39" s="79"/>
      <c r="V39" s="79">
        <v>0</v>
      </c>
      <c r="W39" s="79"/>
      <c r="X39" s="79">
        <v>0</v>
      </c>
      <c r="Y39" s="79"/>
      <c r="Z39" s="79">
        <v>0</v>
      </c>
      <c r="AA39" s="79"/>
      <c r="AB39" s="79">
        <f t="shared" si="6"/>
        <v>0</v>
      </c>
      <c r="AC39" s="79"/>
      <c r="AD39" s="79">
        <f t="shared" si="7"/>
        <v>0</v>
      </c>
      <c r="AE39" s="79"/>
      <c r="AF39" s="97" t="s">
        <v>268</v>
      </c>
      <c r="AG39" s="97">
        <v>-1</v>
      </c>
      <c r="AH39" s="97" t="str">
        <f t="shared" si="8"/>
        <v>ok</v>
      </c>
      <c r="AI39" s="93" t="s">
        <v>11</v>
      </c>
      <c r="AJ39" s="1"/>
      <c r="AK39" s="79"/>
      <c r="AL39" s="79"/>
      <c r="AM39" s="79"/>
    </row>
    <row r="40" spans="1:39" x14ac:dyDescent="0.25">
      <c r="A40" s="79"/>
      <c r="B40" s="84" t="s">
        <v>114</v>
      </c>
      <c r="E40" s="79">
        <f t="shared" si="9"/>
        <v>34</v>
      </c>
      <c r="G40" s="59">
        <f t="shared" si="1"/>
        <v>42709.890000000007</v>
      </c>
      <c r="H40" s="58" t="str">
        <f t="shared" si="10"/>
        <v/>
      </c>
      <c r="I40" s="59">
        <f t="shared" si="2"/>
        <v>-29837.68</v>
      </c>
      <c r="J40" s="58" t="str">
        <f t="shared" si="11"/>
        <v/>
      </c>
      <c r="K40" s="59">
        <f t="shared" si="3"/>
        <v>-29228.99</v>
      </c>
      <c r="L40" s="58" t="str">
        <f t="shared" si="12"/>
        <v/>
      </c>
      <c r="M40" s="59">
        <f t="shared" si="4"/>
        <v>-608.69000000000005</v>
      </c>
      <c r="N40" s="58" t="str">
        <f t="shared" si="13"/>
        <v/>
      </c>
      <c r="O40" s="89">
        <f t="shared" si="14"/>
        <v>-1.3642420526593924E-12</v>
      </c>
      <c r="Q40" s="60">
        <f t="shared" si="5"/>
        <v>0</v>
      </c>
      <c r="R40">
        <v>7020</v>
      </c>
      <c r="S40" s="79">
        <v>7020</v>
      </c>
      <c r="T40">
        <v>0</v>
      </c>
      <c r="U40" s="79"/>
      <c r="V40" s="79">
        <v>0</v>
      </c>
      <c r="W40" s="79"/>
      <c r="X40" s="79">
        <v>0</v>
      </c>
      <c r="Y40" s="79"/>
      <c r="Z40" s="79">
        <v>0</v>
      </c>
      <c r="AA40" s="79"/>
      <c r="AB40" s="79">
        <f t="shared" si="6"/>
        <v>0</v>
      </c>
      <c r="AC40" s="79"/>
      <c r="AD40" s="79">
        <f t="shared" si="7"/>
        <v>0</v>
      </c>
      <c r="AE40" s="79"/>
      <c r="AF40" s="97" t="s">
        <v>268</v>
      </c>
      <c r="AG40" s="97">
        <v>-1</v>
      </c>
      <c r="AH40" s="97" t="str">
        <f t="shared" si="8"/>
        <v>ok</v>
      </c>
      <c r="AI40" s="93" t="s">
        <v>18</v>
      </c>
      <c r="AJ40" s="1"/>
      <c r="AK40" s="79"/>
      <c r="AL40" s="79"/>
      <c r="AM40" s="79"/>
    </row>
    <row r="41" spans="1:39" x14ac:dyDescent="0.25">
      <c r="A41" s="79"/>
      <c r="B41" s="84" t="s">
        <v>229</v>
      </c>
      <c r="E41" s="79">
        <f t="shared" si="9"/>
        <v>35</v>
      </c>
      <c r="G41" s="59">
        <f t="shared" si="1"/>
        <v>235301.85</v>
      </c>
      <c r="H41" s="58" t="str">
        <f t="shared" si="10"/>
        <v/>
      </c>
      <c r="I41" s="59">
        <f t="shared" si="2"/>
        <v>-3895.92</v>
      </c>
      <c r="J41" s="58" t="str">
        <f t="shared" si="11"/>
        <v/>
      </c>
      <c r="K41" s="59">
        <f t="shared" si="3"/>
        <v>-3895.92</v>
      </c>
      <c r="L41" s="58" t="str">
        <f t="shared" si="12"/>
        <v/>
      </c>
      <c r="M41" s="59">
        <f t="shared" si="4"/>
        <v>0</v>
      </c>
      <c r="N41" s="58" t="str">
        <f t="shared" si="13"/>
        <v/>
      </c>
      <c r="O41" s="89">
        <f t="shared" si="14"/>
        <v>0</v>
      </c>
      <c r="Q41" s="60">
        <f t="shared" si="5"/>
        <v>0</v>
      </c>
      <c r="R41">
        <v>7100</v>
      </c>
      <c r="S41" s="79">
        <v>7100</v>
      </c>
      <c r="T41">
        <v>0</v>
      </c>
      <c r="U41" s="79"/>
      <c r="V41" s="79">
        <v>-9000</v>
      </c>
      <c r="W41" s="79"/>
      <c r="X41" s="79">
        <v>-8250</v>
      </c>
      <c r="Y41" s="79"/>
      <c r="Z41" s="79">
        <v>-750</v>
      </c>
      <c r="AA41" s="79"/>
      <c r="AB41" s="79">
        <f t="shared" si="6"/>
        <v>-8250</v>
      </c>
      <c r="AC41" s="79"/>
      <c r="AD41" s="79">
        <f t="shared" si="7"/>
        <v>-9000</v>
      </c>
      <c r="AE41" s="79"/>
      <c r="AF41" s="97" t="s">
        <v>268</v>
      </c>
      <c r="AG41" s="97">
        <v>-1</v>
      </c>
      <c r="AH41" s="97" t="str">
        <f t="shared" si="8"/>
        <v>ok</v>
      </c>
      <c r="AI41" s="93" t="s">
        <v>7</v>
      </c>
      <c r="AJ41" s="1"/>
      <c r="AK41" s="79"/>
      <c r="AL41" s="79"/>
      <c r="AM41" s="79"/>
    </row>
    <row r="42" spans="1:39" x14ac:dyDescent="0.25">
      <c r="A42" s="79"/>
      <c r="B42" s="84" t="s">
        <v>230</v>
      </c>
      <c r="E42" s="79">
        <f t="shared" ref="E42:E74" si="18">MATCH(B42,INDEX(SageTrialBalance,,1),0)</f>
        <v>36</v>
      </c>
      <c r="G42" s="59">
        <f t="shared" si="1"/>
        <v>-24214.329999999994</v>
      </c>
      <c r="H42" s="58" t="str">
        <f t="shared" si="10"/>
        <v/>
      </c>
      <c r="I42" s="59">
        <f t="shared" si="2"/>
        <v>-1803.61</v>
      </c>
      <c r="J42" s="58" t="str">
        <f t="shared" si="11"/>
        <v/>
      </c>
      <c r="K42" s="59">
        <f t="shared" si="3"/>
        <v>-1803.61</v>
      </c>
      <c r="L42" s="58" t="str">
        <f t="shared" si="12"/>
        <v/>
      </c>
      <c r="M42" s="59">
        <f t="shared" si="4"/>
        <v>0</v>
      </c>
      <c r="N42" s="58" t="str">
        <f t="shared" si="13"/>
        <v/>
      </c>
      <c r="O42" s="89">
        <f t="shared" si="14"/>
        <v>0</v>
      </c>
      <c r="Q42" s="60">
        <f t="shared" si="5"/>
        <v>0</v>
      </c>
      <c r="R42">
        <v>7102</v>
      </c>
      <c r="S42" s="79">
        <v>7102</v>
      </c>
      <c r="T42">
        <v>0</v>
      </c>
      <c r="U42" s="79"/>
      <c r="V42" s="79">
        <v>-33148.980000000003</v>
      </c>
      <c r="W42" s="79"/>
      <c r="X42" s="79">
        <v>-29935.53</v>
      </c>
      <c r="Y42" s="79"/>
      <c r="Z42" s="79">
        <v>-3213.45</v>
      </c>
      <c r="AA42" s="79"/>
      <c r="AB42" s="79">
        <f t="shared" si="6"/>
        <v>-29935.53</v>
      </c>
      <c r="AC42" s="79"/>
      <c r="AD42" s="79">
        <f t="shared" si="7"/>
        <v>-33148.980000000003</v>
      </c>
      <c r="AE42" s="79"/>
      <c r="AF42" s="97" t="s">
        <v>268</v>
      </c>
      <c r="AG42" s="97">
        <v>-1</v>
      </c>
      <c r="AH42" s="97" t="str">
        <f t="shared" si="8"/>
        <v>ok</v>
      </c>
      <c r="AI42" s="93" t="s">
        <v>9</v>
      </c>
      <c r="AJ42" s="1"/>
      <c r="AK42" s="79"/>
      <c r="AL42" s="79"/>
      <c r="AM42" s="79"/>
    </row>
    <row r="43" spans="1:39" x14ac:dyDescent="0.25">
      <c r="A43" s="79"/>
      <c r="B43" s="84" t="s">
        <v>283</v>
      </c>
      <c r="E43" s="79">
        <f t="shared" si="18"/>
        <v>37</v>
      </c>
      <c r="G43" s="59">
        <f t="shared" si="1"/>
        <v>0</v>
      </c>
      <c r="H43" s="58" t="str">
        <f t="shared" si="10"/>
        <v/>
      </c>
      <c r="I43" s="59">
        <f t="shared" si="2"/>
        <v>0</v>
      </c>
      <c r="J43" s="58" t="str">
        <f t="shared" si="11"/>
        <v/>
      </c>
      <c r="K43" s="59">
        <f t="shared" si="3"/>
        <v>0</v>
      </c>
      <c r="L43" s="58" t="str">
        <f t="shared" si="12"/>
        <v/>
      </c>
      <c r="M43" s="59">
        <f t="shared" si="4"/>
        <v>0</v>
      </c>
      <c r="N43" s="58" t="str">
        <f t="shared" si="13"/>
        <v/>
      </c>
      <c r="O43" s="89">
        <f t="shared" si="14"/>
        <v>0</v>
      </c>
      <c r="Q43" s="60">
        <f t="shared" si="5"/>
        <v>0</v>
      </c>
      <c r="R43">
        <v>7103</v>
      </c>
      <c r="S43" s="79">
        <v>7103</v>
      </c>
      <c r="T43">
        <v>0</v>
      </c>
      <c r="U43" s="79"/>
      <c r="V43" s="79">
        <v>-1038.4100000000001</v>
      </c>
      <c r="W43" s="79"/>
      <c r="X43" s="79">
        <v>-1038.4100000000001</v>
      </c>
      <c r="Y43" s="79"/>
      <c r="Z43" s="79">
        <v>0</v>
      </c>
      <c r="AA43" s="79"/>
      <c r="AB43" s="79">
        <f t="shared" si="6"/>
        <v>-1038.4100000000001</v>
      </c>
      <c r="AC43" s="79"/>
      <c r="AD43" s="79">
        <f t="shared" si="7"/>
        <v>-1038.4100000000001</v>
      </c>
      <c r="AE43" s="79"/>
      <c r="AF43" s="97" t="s">
        <v>268</v>
      </c>
      <c r="AG43" s="97">
        <v>-1</v>
      </c>
      <c r="AH43" s="97" t="str">
        <f t="shared" si="8"/>
        <v>ok</v>
      </c>
      <c r="AI43" s="93" t="s">
        <v>8</v>
      </c>
      <c r="AJ43" s="1"/>
      <c r="AK43" s="79"/>
      <c r="AL43" s="79"/>
      <c r="AM43" s="79"/>
    </row>
    <row r="44" spans="1:39" x14ac:dyDescent="0.25">
      <c r="A44" s="79"/>
      <c r="B44" s="84" t="s">
        <v>284</v>
      </c>
      <c r="E44" s="79">
        <f t="shared" si="18"/>
        <v>38</v>
      </c>
      <c r="G44" s="59">
        <f t="shared" ref="G44:G77" si="19">INDEX(SageTrialBalance,$E44,G$6)</f>
        <v>0</v>
      </c>
      <c r="H44" s="58" t="str">
        <f t="shared" si="10"/>
        <v/>
      </c>
      <c r="I44" s="59">
        <f t="shared" ref="I44:I77" si="20">INDEX(SageTrialBalance,$E44,I$6)</f>
        <v>0</v>
      </c>
      <c r="J44" s="58" t="str">
        <f t="shared" si="11"/>
        <v/>
      </c>
      <c r="K44" s="59">
        <f t="shared" ref="K44:K77" si="21">INDEX(SageTrialBalance,$E44,K$6)</f>
        <v>0</v>
      </c>
      <c r="L44" s="58" t="str">
        <f t="shared" si="12"/>
        <v/>
      </c>
      <c r="M44" s="59">
        <f t="shared" ref="M44:M77" si="22">INDEX(SageTrialBalance,$E44,M$6)</f>
        <v>0</v>
      </c>
      <c r="N44" s="58" t="str">
        <f t="shared" si="13"/>
        <v/>
      </c>
      <c r="O44" s="89">
        <f t="shared" si="14"/>
        <v>0</v>
      </c>
      <c r="Q44" s="60">
        <f t="shared" si="5"/>
        <v>0</v>
      </c>
      <c r="R44">
        <v>7105</v>
      </c>
      <c r="S44" s="79">
        <v>7105</v>
      </c>
      <c r="T44">
        <v>0</v>
      </c>
      <c r="U44" s="79"/>
      <c r="V44" s="79">
        <v>-11237.29</v>
      </c>
      <c r="W44" s="79"/>
      <c r="X44" s="79">
        <v>-10143.92</v>
      </c>
      <c r="Y44" s="79"/>
      <c r="Z44" s="79">
        <v>-1093.3699999999999</v>
      </c>
      <c r="AA44" s="79"/>
      <c r="AB44" s="79">
        <f t="shared" si="6"/>
        <v>-10143.92</v>
      </c>
      <c r="AC44" s="79"/>
      <c r="AD44" s="79">
        <f t="shared" si="7"/>
        <v>-11237.29</v>
      </c>
      <c r="AE44" s="79"/>
      <c r="AF44" s="97" t="s">
        <v>268</v>
      </c>
      <c r="AG44" s="97">
        <v>-1</v>
      </c>
      <c r="AH44" s="97" t="str">
        <f t="shared" si="8"/>
        <v>ok</v>
      </c>
      <c r="AI44" s="93" t="s">
        <v>10</v>
      </c>
      <c r="AJ44" s="1"/>
      <c r="AK44" s="79"/>
      <c r="AL44" s="79"/>
      <c r="AM44" s="79"/>
    </row>
    <row r="45" spans="1:39" x14ac:dyDescent="0.25">
      <c r="A45" s="79"/>
      <c r="B45" s="84" t="s">
        <v>113</v>
      </c>
      <c r="E45" s="79">
        <f t="shared" si="18"/>
        <v>39</v>
      </c>
      <c r="G45" s="59">
        <f t="shared" si="19"/>
        <v>-15151.58</v>
      </c>
      <c r="H45" s="58" t="str">
        <f t="shared" si="10"/>
        <v/>
      </c>
      <c r="I45" s="59">
        <f t="shared" si="20"/>
        <v>617.74</v>
      </c>
      <c r="J45" s="58" t="str">
        <f t="shared" si="11"/>
        <v/>
      </c>
      <c r="K45" s="59">
        <f t="shared" si="21"/>
        <v>-11164.8</v>
      </c>
      <c r="L45" s="58" t="str">
        <f t="shared" si="12"/>
        <v/>
      </c>
      <c r="M45" s="59">
        <f t="shared" si="22"/>
        <v>11782.54</v>
      </c>
      <c r="N45" s="58" t="str">
        <f t="shared" si="13"/>
        <v/>
      </c>
      <c r="O45" s="89">
        <f t="shared" si="14"/>
        <v>0</v>
      </c>
      <c r="Q45" s="60">
        <f t="shared" si="5"/>
        <v>0</v>
      </c>
      <c r="R45">
        <v>7200</v>
      </c>
      <c r="S45" s="79">
        <v>7200</v>
      </c>
      <c r="T45">
        <v>0</v>
      </c>
      <c r="U45" s="79"/>
      <c r="V45" s="79">
        <v>-105</v>
      </c>
      <c r="W45" s="79"/>
      <c r="X45" s="79">
        <v>-105</v>
      </c>
      <c r="Y45" s="79"/>
      <c r="Z45" s="79">
        <v>0</v>
      </c>
      <c r="AA45" s="79"/>
      <c r="AB45" s="79">
        <f t="shared" si="6"/>
        <v>-105</v>
      </c>
      <c r="AC45" s="79"/>
      <c r="AD45" s="79">
        <f t="shared" si="7"/>
        <v>-105</v>
      </c>
      <c r="AE45" s="79"/>
      <c r="AF45" s="97" t="s">
        <v>268</v>
      </c>
      <c r="AG45" s="97">
        <v>-1</v>
      </c>
      <c r="AH45" s="97" t="str">
        <f t="shared" si="8"/>
        <v>ok</v>
      </c>
      <c r="AI45" s="93" t="s">
        <v>13</v>
      </c>
      <c r="AJ45" s="1"/>
      <c r="AK45" s="79"/>
      <c r="AL45" s="79"/>
      <c r="AM45" s="79"/>
    </row>
    <row r="46" spans="1:39" x14ac:dyDescent="0.25">
      <c r="A46" s="79"/>
      <c r="B46" s="84" t="s">
        <v>112</v>
      </c>
      <c r="E46" s="79">
        <f t="shared" si="18"/>
        <v>40</v>
      </c>
      <c r="G46" s="59">
        <f t="shared" si="19"/>
        <v>319243.73</v>
      </c>
      <c r="H46" s="58" t="str">
        <f t="shared" si="10"/>
        <v/>
      </c>
      <c r="I46" s="59">
        <f t="shared" si="20"/>
        <v>-290.33</v>
      </c>
      <c r="J46" s="58" t="str">
        <f t="shared" si="11"/>
        <v/>
      </c>
      <c r="K46" s="59">
        <f t="shared" si="21"/>
        <v>64174.75</v>
      </c>
      <c r="L46" s="58" t="str">
        <f t="shared" si="12"/>
        <v/>
      </c>
      <c r="M46" s="59">
        <f t="shared" si="22"/>
        <v>-64465.08</v>
      </c>
      <c r="N46" s="58" t="str">
        <f t="shared" si="13"/>
        <v/>
      </c>
      <c r="O46" s="89">
        <f t="shared" si="14"/>
        <v>0</v>
      </c>
      <c r="Q46" s="60">
        <f t="shared" si="5"/>
        <v>0</v>
      </c>
      <c r="R46">
        <v>7202</v>
      </c>
      <c r="S46" s="79">
        <v>7202</v>
      </c>
      <c r="T46">
        <v>0</v>
      </c>
      <c r="U46" s="79"/>
      <c r="V46" s="79">
        <v>-11040</v>
      </c>
      <c r="W46" s="79"/>
      <c r="X46" s="79">
        <v>-10120</v>
      </c>
      <c r="Y46" s="79"/>
      <c r="Z46" s="79">
        <v>-920</v>
      </c>
      <c r="AA46" s="79"/>
      <c r="AB46" s="79">
        <f t="shared" si="6"/>
        <v>-10120</v>
      </c>
      <c r="AC46" s="79"/>
      <c r="AD46" s="79">
        <f t="shared" si="7"/>
        <v>-11040</v>
      </c>
      <c r="AE46" s="79"/>
      <c r="AF46" s="97" t="s">
        <v>268</v>
      </c>
      <c r="AG46" s="97">
        <v>-1</v>
      </c>
      <c r="AH46" s="97" t="str">
        <f t="shared" si="8"/>
        <v>ok</v>
      </c>
      <c r="AI46" s="93" t="s">
        <v>14</v>
      </c>
      <c r="AJ46" s="1"/>
      <c r="AK46" s="79"/>
      <c r="AL46" s="79"/>
      <c r="AM46" s="79"/>
    </row>
    <row r="47" spans="1:39" x14ac:dyDescent="0.25">
      <c r="A47" s="79"/>
      <c r="B47" s="84" t="s">
        <v>111</v>
      </c>
      <c r="E47" s="79">
        <f t="shared" si="18"/>
        <v>41</v>
      </c>
      <c r="G47" s="59">
        <f t="shared" si="19"/>
        <v>-253096.89</v>
      </c>
      <c r="H47" s="58" t="str">
        <f t="shared" si="10"/>
        <v/>
      </c>
      <c r="I47" s="59">
        <f t="shared" si="20"/>
        <v>-4004.12</v>
      </c>
      <c r="J47" s="58" t="str">
        <f t="shared" si="11"/>
        <v/>
      </c>
      <c r="K47" s="59">
        <f t="shared" si="21"/>
        <v>-33377.61</v>
      </c>
      <c r="L47" s="58" t="str">
        <f t="shared" si="12"/>
        <v/>
      </c>
      <c r="M47" s="59">
        <f t="shared" si="22"/>
        <v>29373.49</v>
      </c>
      <c r="N47" s="58" t="str">
        <f t="shared" si="13"/>
        <v/>
      </c>
      <c r="O47" s="89">
        <f t="shared" si="14"/>
        <v>0</v>
      </c>
      <c r="Q47" s="60">
        <f t="shared" si="5"/>
        <v>0</v>
      </c>
      <c r="R47">
        <v>7204</v>
      </c>
      <c r="S47" s="79">
        <v>7204</v>
      </c>
      <c r="T47">
        <v>0</v>
      </c>
      <c r="U47" s="79"/>
      <c r="V47" s="79">
        <v>-91011.15</v>
      </c>
      <c r="W47" s="79"/>
      <c r="X47" s="79">
        <v>-83511.149999999994</v>
      </c>
      <c r="Y47" s="79"/>
      <c r="Z47" s="79">
        <v>-7500</v>
      </c>
      <c r="AA47" s="79"/>
      <c r="AB47" s="79">
        <f t="shared" si="6"/>
        <v>-83511.149999999994</v>
      </c>
      <c r="AC47" s="79"/>
      <c r="AD47" s="79">
        <f t="shared" si="7"/>
        <v>-91011.15</v>
      </c>
      <c r="AE47" s="79"/>
      <c r="AF47" s="97" t="s">
        <v>268</v>
      </c>
      <c r="AG47" s="97">
        <v>-1</v>
      </c>
      <c r="AH47" s="97" t="str">
        <f t="shared" si="8"/>
        <v>ok</v>
      </c>
      <c r="AI47" s="93" t="s">
        <v>15</v>
      </c>
      <c r="AJ47" s="1"/>
      <c r="AK47" s="79"/>
      <c r="AL47" s="79"/>
      <c r="AM47" s="79"/>
    </row>
    <row r="48" spans="1:39" x14ac:dyDescent="0.25">
      <c r="A48" s="79"/>
      <c r="B48" s="84" t="s">
        <v>110</v>
      </c>
      <c r="E48" s="79">
        <f t="shared" si="18"/>
        <v>42</v>
      </c>
      <c r="G48" s="59">
        <f t="shared" si="19"/>
        <v>-28785.27</v>
      </c>
      <c r="H48" s="58" t="str">
        <f t="shared" si="10"/>
        <v/>
      </c>
      <c r="I48" s="59">
        <f t="shared" si="20"/>
        <v>9915.86</v>
      </c>
      <c r="J48" s="58" t="str">
        <f t="shared" si="11"/>
        <v/>
      </c>
      <c r="K48" s="59">
        <f t="shared" si="21"/>
        <v>-37411.949999999997</v>
      </c>
      <c r="L48" s="58" t="str">
        <f t="shared" si="12"/>
        <v/>
      </c>
      <c r="M48" s="59">
        <f t="shared" si="22"/>
        <v>47327.81</v>
      </c>
      <c r="N48" s="58" t="str">
        <f t="shared" si="13"/>
        <v/>
      </c>
      <c r="O48" s="89">
        <f t="shared" si="14"/>
        <v>0</v>
      </c>
      <c r="Q48" s="60">
        <f t="shared" si="5"/>
        <v>0</v>
      </c>
      <c r="R48">
        <v>7206</v>
      </c>
      <c r="S48" s="79">
        <v>7206</v>
      </c>
      <c r="T48">
        <v>0</v>
      </c>
      <c r="U48" s="79"/>
      <c r="V48" s="79">
        <v>-17640.16</v>
      </c>
      <c r="W48" s="79"/>
      <c r="X48" s="79">
        <v>-16310.95</v>
      </c>
      <c r="Y48" s="79"/>
      <c r="Z48" s="79">
        <v>-1329.21</v>
      </c>
      <c r="AA48" s="79"/>
      <c r="AB48" s="79">
        <f t="shared" si="6"/>
        <v>-16310.95</v>
      </c>
      <c r="AC48" s="79"/>
      <c r="AD48" s="79">
        <f t="shared" si="7"/>
        <v>-17640.16</v>
      </c>
      <c r="AE48" s="79"/>
      <c r="AF48" s="97" t="s">
        <v>268</v>
      </c>
      <c r="AG48" s="97">
        <v>-1</v>
      </c>
      <c r="AH48" s="97" t="str">
        <f t="shared" si="8"/>
        <v>ok</v>
      </c>
      <c r="AI48" s="93" t="s">
        <v>16</v>
      </c>
      <c r="AJ48" s="1"/>
      <c r="AK48" s="79"/>
      <c r="AL48" s="79"/>
      <c r="AM48" s="79"/>
    </row>
    <row r="49" spans="1:39" x14ac:dyDescent="0.25">
      <c r="A49" s="79"/>
      <c r="B49" s="84">
        <v>2204</v>
      </c>
      <c r="C49" s="79"/>
      <c r="D49" s="79"/>
      <c r="E49" s="79">
        <f t="shared" ref="E49" si="23">MATCH(B49,INDEX(SageTrialBalance,,1),0)</f>
        <v>43</v>
      </c>
      <c r="F49" s="79"/>
      <c r="G49" s="59">
        <f t="shared" si="19"/>
        <v>-9409.52</v>
      </c>
      <c r="H49" s="58" t="str">
        <f t="shared" ref="H49" si="24">IF($C49,IF(G49&lt;&gt;0,"#Err#","ok"),"")</f>
        <v/>
      </c>
      <c r="I49" s="59">
        <f t="shared" si="20"/>
        <v>7409.52</v>
      </c>
      <c r="J49" s="58" t="str">
        <f t="shared" ref="J49" si="25">IF($C49,IF(I49&lt;&gt;0,"#Err#","ok"),"")</f>
        <v/>
      </c>
      <c r="K49" s="59">
        <f t="shared" si="21"/>
        <v>7409.52</v>
      </c>
      <c r="L49" s="58" t="str">
        <f t="shared" ref="L49" si="26">IF($C49,IF(K49&lt;&gt;0,"#Err#","ok"),"")</f>
        <v/>
      </c>
      <c r="M49" s="59">
        <f t="shared" si="22"/>
        <v>0</v>
      </c>
      <c r="N49" s="58" t="str">
        <f t="shared" ref="N49" si="27">IF($C49,IF(M49&lt;&gt;0,"#Err#","ok"),"")</f>
        <v/>
      </c>
      <c r="O49" s="89">
        <f t="shared" ref="O49" si="28">M49-(I49-K49)</f>
        <v>0</v>
      </c>
      <c r="Q49" s="60">
        <f t="shared" si="5"/>
        <v>0</v>
      </c>
      <c r="R49">
        <v>7906</v>
      </c>
      <c r="S49" s="79">
        <v>7906</v>
      </c>
      <c r="T49">
        <v>0</v>
      </c>
      <c r="U49" s="79"/>
      <c r="V49" s="79">
        <v>0</v>
      </c>
      <c r="W49" s="79"/>
      <c r="X49" s="79">
        <v>0</v>
      </c>
      <c r="Y49" s="79"/>
      <c r="Z49" s="79">
        <v>0</v>
      </c>
      <c r="AA49" s="79"/>
      <c r="AB49" s="79">
        <f t="shared" si="6"/>
        <v>0</v>
      </c>
      <c r="AC49" s="79"/>
      <c r="AD49" s="79">
        <f t="shared" si="7"/>
        <v>0</v>
      </c>
      <c r="AE49" s="79"/>
      <c r="AF49" s="97" t="s">
        <v>268</v>
      </c>
      <c r="AG49" s="97">
        <v>-1</v>
      </c>
      <c r="AH49" s="97" t="str">
        <f t="shared" si="8"/>
        <v>ok</v>
      </c>
      <c r="AI49" s="93" t="s">
        <v>23</v>
      </c>
      <c r="AJ49" s="1"/>
      <c r="AK49" s="79"/>
      <c r="AL49" s="79"/>
      <c r="AM49" s="79"/>
    </row>
    <row r="50" spans="1:39" x14ac:dyDescent="0.25">
      <c r="A50" s="79"/>
      <c r="B50" s="84" t="s">
        <v>109</v>
      </c>
      <c r="E50" s="79">
        <f t="shared" si="18"/>
        <v>44</v>
      </c>
      <c r="G50" s="59">
        <f t="shared" si="19"/>
        <v>979.59000000000015</v>
      </c>
      <c r="H50" s="58" t="str">
        <f t="shared" si="10"/>
        <v/>
      </c>
      <c r="I50" s="59">
        <f t="shared" si="20"/>
        <v>-1525.06</v>
      </c>
      <c r="J50" s="58" t="str">
        <f t="shared" si="11"/>
        <v/>
      </c>
      <c r="K50" s="59">
        <f t="shared" si="21"/>
        <v>1358.79</v>
      </c>
      <c r="L50" s="58" t="str">
        <f t="shared" si="12"/>
        <v/>
      </c>
      <c r="M50" s="59">
        <f t="shared" si="22"/>
        <v>-2883.85</v>
      </c>
      <c r="N50" s="58" t="str">
        <f t="shared" si="13"/>
        <v/>
      </c>
      <c r="O50" s="89">
        <f t="shared" si="14"/>
        <v>0</v>
      </c>
      <c r="Q50" s="60">
        <f t="shared" si="5"/>
        <v>0</v>
      </c>
      <c r="R50">
        <v>8100</v>
      </c>
      <c r="S50" s="79">
        <v>8100</v>
      </c>
      <c r="T50">
        <v>-2.8421709430404007E-14</v>
      </c>
      <c r="U50" s="79"/>
      <c r="V50" s="79">
        <v>-1.21</v>
      </c>
      <c r="W50" s="79"/>
      <c r="X50" s="79">
        <v>-1.21</v>
      </c>
      <c r="Y50" s="79"/>
      <c r="Z50" s="79">
        <v>0</v>
      </c>
      <c r="AA50" s="79"/>
      <c r="AB50" s="79">
        <f t="shared" si="6"/>
        <v>-1.2099999999999715</v>
      </c>
      <c r="AC50" s="79"/>
      <c r="AD50" s="79">
        <f t="shared" si="7"/>
        <v>-1.2099999999999715</v>
      </c>
      <c r="AE50" s="79"/>
      <c r="AF50" s="97" t="s">
        <v>268</v>
      </c>
      <c r="AG50" s="97">
        <v>-1</v>
      </c>
      <c r="AH50" s="97" t="str">
        <f t="shared" si="8"/>
        <v>ok</v>
      </c>
      <c r="AI50" s="93" t="s">
        <v>19</v>
      </c>
      <c r="AJ50" s="1"/>
      <c r="AK50" s="79"/>
      <c r="AL50" s="79"/>
      <c r="AM50" s="79"/>
    </row>
    <row r="51" spans="1:39" x14ac:dyDescent="0.25">
      <c r="A51" s="79"/>
      <c r="B51" s="84" t="s">
        <v>108</v>
      </c>
      <c r="E51" s="79">
        <f t="shared" si="18"/>
        <v>45</v>
      </c>
      <c r="G51" s="59">
        <f t="shared" si="19"/>
        <v>3626.72</v>
      </c>
      <c r="H51" s="58" t="str">
        <f t="shared" si="10"/>
        <v/>
      </c>
      <c r="I51" s="59">
        <f t="shared" si="20"/>
        <v>279.66000000000003</v>
      </c>
      <c r="J51" s="58" t="str">
        <f t="shared" si="11"/>
        <v/>
      </c>
      <c r="K51" s="59">
        <f t="shared" si="21"/>
        <v>3343.6</v>
      </c>
      <c r="L51" s="58" t="str">
        <f t="shared" si="12"/>
        <v/>
      </c>
      <c r="M51" s="59">
        <f t="shared" si="22"/>
        <v>-3063.94</v>
      </c>
      <c r="N51" s="58" t="str">
        <f t="shared" si="13"/>
        <v/>
      </c>
      <c r="O51" s="89">
        <f t="shared" si="14"/>
        <v>0</v>
      </c>
      <c r="Q51" s="60">
        <f t="shared" si="5"/>
        <v>0</v>
      </c>
      <c r="R51">
        <v>8200</v>
      </c>
      <c r="S51" s="79">
        <v>8200</v>
      </c>
      <c r="T51">
        <v>0</v>
      </c>
      <c r="U51" s="79"/>
      <c r="V51" s="79">
        <v>-3600</v>
      </c>
      <c r="W51" s="79"/>
      <c r="X51" s="79">
        <v>-3300</v>
      </c>
      <c r="Y51" s="79"/>
      <c r="Z51" s="79">
        <v>-300</v>
      </c>
      <c r="AA51" s="79"/>
      <c r="AB51" s="79">
        <f t="shared" si="6"/>
        <v>-3300</v>
      </c>
      <c r="AC51" s="79"/>
      <c r="AD51" s="79">
        <f t="shared" si="7"/>
        <v>-3600</v>
      </c>
      <c r="AE51" s="79"/>
      <c r="AF51" s="97" t="s">
        <v>268</v>
      </c>
      <c r="AG51" s="97">
        <v>-1</v>
      </c>
      <c r="AH51" s="97" t="str">
        <f t="shared" si="8"/>
        <v>ok</v>
      </c>
      <c r="AI51" s="93" t="s">
        <v>20</v>
      </c>
      <c r="AJ51" s="1"/>
      <c r="AK51" s="79"/>
      <c r="AL51" s="79"/>
      <c r="AM51" s="79"/>
    </row>
    <row r="52" spans="1:39" x14ac:dyDescent="0.25">
      <c r="A52" s="79"/>
      <c r="B52" s="84" t="s">
        <v>107</v>
      </c>
      <c r="E52" s="79">
        <f t="shared" si="18"/>
        <v>46</v>
      </c>
      <c r="G52" s="59">
        <f t="shared" si="19"/>
        <v>0</v>
      </c>
      <c r="H52" s="58" t="str">
        <f t="shared" si="10"/>
        <v/>
      </c>
      <c r="I52" s="59">
        <f t="shared" si="20"/>
        <v>0</v>
      </c>
      <c r="J52" s="58" t="str">
        <f t="shared" si="11"/>
        <v/>
      </c>
      <c r="K52" s="59">
        <f t="shared" si="21"/>
        <v>0</v>
      </c>
      <c r="L52" s="58" t="str">
        <f t="shared" si="12"/>
        <v/>
      </c>
      <c r="M52" s="59">
        <f t="shared" si="22"/>
        <v>0</v>
      </c>
      <c r="N52" s="58" t="str">
        <f t="shared" si="13"/>
        <v/>
      </c>
      <c r="O52" s="89">
        <f t="shared" si="14"/>
        <v>0</v>
      </c>
      <c r="Q52" s="60">
        <f t="shared" si="5"/>
        <v>0</v>
      </c>
      <c r="R52">
        <v>8201</v>
      </c>
      <c r="S52" s="79">
        <v>8201</v>
      </c>
      <c r="T52">
        <v>0</v>
      </c>
      <c r="U52" s="79"/>
      <c r="V52" s="79">
        <v>-1303.5</v>
      </c>
      <c r="W52" s="79"/>
      <c r="X52" s="79">
        <v>-1123.5</v>
      </c>
      <c r="Y52" s="79"/>
      <c r="Z52" s="79">
        <v>-180</v>
      </c>
      <c r="AA52" s="79"/>
      <c r="AB52" s="79">
        <f t="shared" si="6"/>
        <v>-1123.5</v>
      </c>
      <c r="AC52" s="79"/>
      <c r="AD52" s="79">
        <f t="shared" si="7"/>
        <v>-1303.5</v>
      </c>
      <c r="AE52" s="79"/>
      <c r="AF52" s="97" t="s">
        <v>268</v>
      </c>
      <c r="AG52" s="97">
        <v>-1</v>
      </c>
      <c r="AH52" s="97" t="str">
        <f t="shared" si="8"/>
        <v>ok</v>
      </c>
      <c r="AI52" s="93" t="s">
        <v>28</v>
      </c>
      <c r="AJ52" s="1"/>
      <c r="AK52" s="79"/>
      <c r="AL52" s="79"/>
      <c r="AM52" s="79"/>
    </row>
    <row r="53" spans="1:39" x14ac:dyDescent="0.25">
      <c r="A53" s="79"/>
      <c r="B53" s="84" t="s">
        <v>231</v>
      </c>
      <c r="E53" s="79">
        <f t="shared" si="18"/>
        <v>47</v>
      </c>
      <c r="G53" s="59">
        <f t="shared" si="19"/>
        <v>0</v>
      </c>
      <c r="H53" s="58" t="str">
        <f t="shared" si="10"/>
        <v/>
      </c>
      <c r="I53" s="59">
        <f t="shared" si="20"/>
        <v>8563.3799999999992</v>
      </c>
      <c r="J53" s="58" t="str">
        <f t="shared" si="11"/>
        <v/>
      </c>
      <c r="K53" s="59">
        <f t="shared" si="21"/>
        <v>0</v>
      </c>
      <c r="L53" s="58" t="str">
        <f t="shared" si="12"/>
        <v/>
      </c>
      <c r="M53" s="59">
        <f t="shared" si="22"/>
        <v>8563.3799999999992</v>
      </c>
      <c r="N53" s="58" t="str">
        <f t="shared" si="13"/>
        <v/>
      </c>
      <c r="O53" s="89">
        <f t="shared" si="14"/>
        <v>0</v>
      </c>
      <c r="Q53" s="60">
        <f t="shared" si="5"/>
        <v>0</v>
      </c>
      <c r="R53">
        <v>8204</v>
      </c>
      <c r="S53" s="79">
        <v>8204</v>
      </c>
      <c r="T53">
        <v>0</v>
      </c>
      <c r="U53" s="79"/>
      <c r="V53" s="79">
        <v>-1841.7</v>
      </c>
      <c r="W53" s="79"/>
      <c r="X53" s="79">
        <v>-1713.29</v>
      </c>
      <c r="Y53" s="79"/>
      <c r="Z53" s="79">
        <v>-128.41</v>
      </c>
      <c r="AA53" s="79"/>
      <c r="AB53" s="79">
        <f t="shared" si="6"/>
        <v>-1713.29</v>
      </c>
      <c r="AC53" s="79"/>
      <c r="AD53" s="79">
        <f t="shared" si="7"/>
        <v>-1841.7</v>
      </c>
      <c r="AE53" s="79"/>
      <c r="AF53" s="97" t="s">
        <v>268</v>
      </c>
      <c r="AG53" s="97">
        <v>-1</v>
      </c>
      <c r="AH53" s="97" t="str">
        <f t="shared" si="8"/>
        <v>ok</v>
      </c>
      <c r="AI53" s="93" t="s">
        <v>21</v>
      </c>
      <c r="AJ53" s="1"/>
      <c r="AK53" s="79"/>
      <c r="AL53" s="79"/>
      <c r="AM53" s="79"/>
    </row>
    <row r="54" spans="1:39" x14ac:dyDescent="0.25">
      <c r="A54" s="79"/>
      <c r="B54" s="84" t="s">
        <v>285</v>
      </c>
      <c r="E54" s="79">
        <f t="shared" si="18"/>
        <v>48</v>
      </c>
      <c r="G54" s="59">
        <f t="shared" si="19"/>
        <v>100</v>
      </c>
      <c r="H54" s="58" t="str">
        <f t="shared" si="10"/>
        <v/>
      </c>
      <c r="I54" s="59">
        <f t="shared" si="20"/>
        <v>0</v>
      </c>
      <c r="J54" s="58" t="str">
        <f t="shared" si="11"/>
        <v/>
      </c>
      <c r="K54" s="59">
        <f t="shared" si="21"/>
        <v>0</v>
      </c>
      <c r="L54" s="58" t="str">
        <f t="shared" si="12"/>
        <v/>
      </c>
      <c r="M54" s="59">
        <f t="shared" si="22"/>
        <v>0</v>
      </c>
      <c r="N54" s="58" t="str">
        <f t="shared" si="13"/>
        <v/>
      </c>
      <c r="O54" s="89">
        <f t="shared" si="14"/>
        <v>0</v>
      </c>
      <c r="Q54" s="60">
        <f t="shared" si="5"/>
        <v>0</v>
      </c>
      <c r="R54">
        <v>8300</v>
      </c>
      <c r="S54" s="79">
        <v>8300</v>
      </c>
      <c r="T54">
        <v>0</v>
      </c>
      <c r="U54" s="79"/>
      <c r="V54" s="79">
        <v>-3000</v>
      </c>
      <c r="W54" s="79"/>
      <c r="X54" s="79">
        <v>-2750</v>
      </c>
      <c r="Y54" s="79"/>
      <c r="Z54" s="79">
        <v>-250</v>
      </c>
      <c r="AA54" s="79"/>
      <c r="AB54" s="79">
        <f t="shared" si="6"/>
        <v>-2750</v>
      </c>
      <c r="AC54" s="79"/>
      <c r="AD54" s="79">
        <f t="shared" si="7"/>
        <v>-3000</v>
      </c>
      <c r="AE54" s="79"/>
      <c r="AF54" s="97" t="s">
        <v>268</v>
      </c>
      <c r="AG54" s="97">
        <v>-1</v>
      </c>
      <c r="AH54" s="97" t="str">
        <f t="shared" si="8"/>
        <v>ok</v>
      </c>
      <c r="AI54" s="93" t="s">
        <v>22</v>
      </c>
      <c r="AJ54" s="43"/>
      <c r="AK54" s="79"/>
      <c r="AL54" s="79"/>
      <c r="AM54" s="79"/>
    </row>
    <row r="55" spans="1:39" x14ac:dyDescent="0.25">
      <c r="A55" s="79"/>
      <c r="B55" s="84" t="s">
        <v>232</v>
      </c>
      <c r="E55" s="79">
        <f t="shared" si="18"/>
        <v>49</v>
      </c>
      <c r="G55" s="59">
        <f t="shared" si="19"/>
        <v>558690.80000000005</v>
      </c>
      <c r="H55" s="58" t="str">
        <f t="shared" si="10"/>
        <v/>
      </c>
      <c r="I55" s="59">
        <f t="shared" si="20"/>
        <v>0</v>
      </c>
      <c r="J55" s="58" t="str">
        <f t="shared" si="11"/>
        <v/>
      </c>
      <c r="K55" s="59">
        <f t="shared" si="21"/>
        <v>0</v>
      </c>
      <c r="L55" s="58" t="str">
        <f t="shared" si="12"/>
        <v/>
      </c>
      <c r="M55" s="59">
        <f t="shared" si="22"/>
        <v>0</v>
      </c>
      <c r="N55" s="58" t="str">
        <f t="shared" si="13"/>
        <v/>
      </c>
      <c r="O55" s="89">
        <f t="shared" si="14"/>
        <v>0</v>
      </c>
      <c r="Q55" s="60">
        <f t="shared" si="5"/>
        <v>0</v>
      </c>
      <c r="R55">
        <v>8310</v>
      </c>
      <c r="S55" s="79">
        <v>8310</v>
      </c>
      <c r="T55">
        <v>0</v>
      </c>
      <c r="U55" s="79"/>
      <c r="V55" s="79">
        <v>0</v>
      </c>
      <c r="W55" s="79"/>
      <c r="X55" s="79">
        <v>0</v>
      </c>
      <c r="Y55" s="79"/>
      <c r="Z55" s="79">
        <v>0</v>
      </c>
      <c r="AA55" s="79"/>
      <c r="AB55" s="79">
        <f t="shared" si="6"/>
        <v>0</v>
      </c>
      <c r="AC55" s="79"/>
      <c r="AD55" s="79">
        <f t="shared" si="7"/>
        <v>0</v>
      </c>
      <c r="AE55" s="79"/>
      <c r="AF55" s="97" t="s">
        <v>268</v>
      </c>
      <c r="AG55" s="97">
        <v>-1</v>
      </c>
      <c r="AH55" s="97" t="str">
        <f t="shared" si="8"/>
        <v>ok</v>
      </c>
      <c r="AI55" s="94" t="s">
        <v>24</v>
      </c>
      <c r="AJ55" s="44"/>
      <c r="AK55" s="79"/>
      <c r="AL55" s="79"/>
      <c r="AM55" s="79"/>
    </row>
    <row r="56" spans="1:39" x14ac:dyDescent="0.25">
      <c r="A56" s="79"/>
      <c r="B56" s="84" t="s">
        <v>286</v>
      </c>
      <c r="E56" s="79">
        <f t="shared" si="18"/>
        <v>50</v>
      </c>
      <c r="G56" s="59">
        <f t="shared" si="19"/>
        <v>0</v>
      </c>
      <c r="H56" s="58" t="str">
        <f t="shared" si="10"/>
        <v/>
      </c>
      <c r="I56" s="59">
        <f t="shared" si="20"/>
        <v>0</v>
      </c>
      <c r="J56" s="58" t="str">
        <f t="shared" si="11"/>
        <v/>
      </c>
      <c r="K56" s="59">
        <f t="shared" si="21"/>
        <v>0</v>
      </c>
      <c r="L56" s="58" t="str">
        <f t="shared" si="12"/>
        <v/>
      </c>
      <c r="M56" s="59">
        <f t="shared" si="22"/>
        <v>0</v>
      </c>
      <c r="N56" s="58" t="str">
        <f t="shared" si="13"/>
        <v/>
      </c>
      <c r="O56" s="89">
        <f t="shared" si="14"/>
        <v>0</v>
      </c>
      <c r="Q56" s="60">
        <f t="shared" si="5"/>
        <v>0</v>
      </c>
      <c r="R56">
        <v>8400</v>
      </c>
      <c r="S56" s="79">
        <v>8400</v>
      </c>
      <c r="T56">
        <v>0</v>
      </c>
      <c r="U56" s="79"/>
      <c r="V56" s="79">
        <v>-1500</v>
      </c>
      <c r="W56" s="79"/>
      <c r="X56" s="79">
        <v>-1375</v>
      </c>
      <c r="Y56" s="79"/>
      <c r="Z56" s="79">
        <v>-125</v>
      </c>
      <c r="AA56" s="79"/>
      <c r="AB56" s="79">
        <f t="shared" si="6"/>
        <v>-1375</v>
      </c>
      <c r="AC56" s="79"/>
      <c r="AD56" s="79">
        <f t="shared" si="7"/>
        <v>-1500</v>
      </c>
      <c r="AE56" s="79"/>
      <c r="AF56" s="97" t="s">
        <v>268</v>
      </c>
      <c r="AG56" s="97">
        <v>-1</v>
      </c>
      <c r="AH56" s="97" t="str">
        <f t="shared" si="8"/>
        <v>ok</v>
      </c>
      <c r="AI56" s="95" t="s">
        <v>25</v>
      </c>
      <c r="AJ56" s="43"/>
      <c r="AK56" s="79"/>
      <c r="AL56" s="79"/>
      <c r="AM56" s="79"/>
    </row>
    <row r="57" spans="1:39" x14ac:dyDescent="0.25">
      <c r="A57" s="79"/>
      <c r="B57" s="84" t="s">
        <v>106</v>
      </c>
      <c r="E57" s="79">
        <f t="shared" si="18"/>
        <v>51</v>
      </c>
      <c r="G57" s="59">
        <f t="shared" si="19"/>
        <v>2.3283064365386963E-10</v>
      </c>
      <c r="H57" s="58" t="str">
        <f t="shared" si="10"/>
        <v/>
      </c>
      <c r="I57" s="59">
        <f t="shared" si="20"/>
        <v>1656832.85</v>
      </c>
      <c r="J57" s="58" t="str">
        <f t="shared" si="11"/>
        <v/>
      </c>
      <c r="K57" s="59">
        <f t="shared" si="21"/>
        <v>1496178.37</v>
      </c>
      <c r="L57" s="58" t="str">
        <f t="shared" si="12"/>
        <v/>
      </c>
      <c r="M57" s="59">
        <f t="shared" si="22"/>
        <v>160654.48000000001</v>
      </c>
      <c r="N57" s="58" t="str">
        <f t="shared" si="13"/>
        <v/>
      </c>
      <c r="O57" s="89">
        <f t="shared" si="14"/>
        <v>0</v>
      </c>
      <c r="Q57" s="60">
        <f t="shared" si="5"/>
        <v>0</v>
      </c>
      <c r="R57">
        <v>8402</v>
      </c>
      <c r="S57" s="79">
        <v>8402</v>
      </c>
      <c r="T57">
        <v>0</v>
      </c>
      <c r="U57" s="79"/>
      <c r="V57" s="79">
        <v>-5687.25</v>
      </c>
      <c r="W57" s="79"/>
      <c r="X57" s="79">
        <v>-5262.99</v>
      </c>
      <c r="Y57" s="79"/>
      <c r="Z57" s="79">
        <v>-424.26</v>
      </c>
      <c r="AA57" s="79"/>
      <c r="AB57" s="79">
        <f t="shared" si="6"/>
        <v>-5262.99</v>
      </c>
      <c r="AC57" s="79"/>
      <c r="AD57" s="79">
        <f t="shared" si="7"/>
        <v>-5687.25</v>
      </c>
      <c r="AE57" s="79"/>
      <c r="AF57" s="97" t="s">
        <v>268</v>
      </c>
      <c r="AG57" s="97">
        <v>-1</v>
      </c>
      <c r="AH57" s="97" t="str">
        <f t="shared" si="8"/>
        <v>ok</v>
      </c>
      <c r="AI57" s="96" t="s">
        <v>26</v>
      </c>
      <c r="AJ57" s="1"/>
      <c r="AK57" s="79"/>
      <c r="AL57" s="79"/>
      <c r="AM57" s="79"/>
    </row>
    <row r="58" spans="1:39" x14ac:dyDescent="0.25">
      <c r="A58" s="79"/>
      <c r="B58" s="84" t="s">
        <v>105</v>
      </c>
      <c r="E58" s="79">
        <f t="shared" si="18"/>
        <v>52</v>
      </c>
      <c r="G58" s="59">
        <f t="shared" si="19"/>
        <v>0</v>
      </c>
      <c r="H58" s="58" t="str">
        <f t="shared" si="10"/>
        <v/>
      </c>
      <c r="I58" s="59">
        <f t="shared" si="20"/>
        <v>-37785.879999999997</v>
      </c>
      <c r="J58" s="58" t="str">
        <f t="shared" si="11"/>
        <v/>
      </c>
      <c r="K58" s="59">
        <f t="shared" si="21"/>
        <v>-34550.9</v>
      </c>
      <c r="L58" s="58" t="str">
        <f t="shared" si="12"/>
        <v/>
      </c>
      <c r="M58" s="59">
        <f t="shared" si="22"/>
        <v>-3234.98</v>
      </c>
      <c r="N58" s="58" t="str">
        <f t="shared" si="13"/>
        <v/>
      </c>
      <c r="O58" s="89">
        <f t="shared" si="14"/>
        <v>-4.0927261579781771E-12</v>
      </c>
      <c r="Q58" s="60">
        <f t="shared" si="5"/>
        <v>0</v>
      </c>
      <c r="R58">
        <v>8405</v>
      </c>
      <c r="S58" s="79">
        <v>8405</v>
      </c>
      <c r="T58">
        <v>0</v>
      </c>
      <c r="U58" s="79"/>
      <c r="V58" s="79">
        <v>-11470.46</v>
      </c>
      <c r="W58" s="79"/>
      <c r="X58" s="79">
        <v>-10243.02</v>
      </c>
      <c r="Y58" s="79"/>
      <c r="Z58" s="79">
        <v>-1227.44</v>
      </c>
      <c r="AA58" s="79"/>
      <c r="AB58" s="79">
        <f t="shared" si="6"/>
        <v>-10243.02</v>
      </c>
      <c r="AC58" s="79"/>
      <c r="AD58" s="79">
        <f t="shared" si="7"/>
        <v>-11470.46</v>
      </c>
      <c r="AE58" s="79"/>
      <c r="AF58" s="97" t="s">
        <v>268</v>
      </c>
      <c r="AG58" s="97">
        <v>-1</v>
      </c>
      <c r="AH58" s="97" t="str">
        <f t="shared" si="8"/>
        <v>ok</v>
      </c>
      <c r="AI58" s="93" t="s">
        <v>27</v>
      </c>
      <c r="AJ58" s="1"/>
      <c r="AK58" s="79"/>
      <c r="AL58" s="79"/>
      <c r="AM58" s="79"/>
    </row>
    <row r="59" spans="1:39" x14ac:dyDescent="0.25">
      <c r="A59" s="79"/>
      <c r="B59" s="84" t="s">
        <v>104</v>
      </c>
      <c r="E59" s="79">
        <f t="shared" si="18"/>
        <v>53</v>
      </c>
      <c r="G59" s="59">
        <f t="shared" si="19"/>
        <v>0</v>
      </c>
      <c r="H59" s="58" t="str">
        <f t="shared" si="10"/>
        <v/>
      </c>
      <c r="I59" s="59">
        <f t="shared" si="20"/>
        <v>-39515.32</v>
      </c>
      <c r="J59" s="58" t="str">
        <f t="shared" si="11"/>
        <v/>
      </c>
      <c r="K59" s="59">
        <f t="shared" si="21"/>
        <v>-35866.660000000003</v>
      </c>
      <c r="L59" s="58" t="str">
        <f t="shared" si="12"/>
        <v/>
      </c>
      <c r="M59" s="59">
        <f t="shared" si="22"/>
        <v>-3648.66</v>
      </c>
      <c r="N59" s="58" t="str">
        <f t="shared" si="13"/>
        <v/>
      </c>
      <c r="O59" s="89">
        <f t="shared" si="14"/>
        <v>-3.637978807091713E-12</v>
      </c>
      <c r="Q59" s="60">
        <f t="shared" si="5"/>
        <v>0</v>
      </c>
      <c r="R59">
        <v>8408</v>
      </c>
      <c r="S59" s="79">
        <v>8408</v>
      </c>
      <c r="T59">
        <v>0</v>
      </c>
      <c r="U59" s="79"/>
      <c r="V59" s="79">
        <v>-973.54</v>
      </c>
      <c r="W59" s="79"/>
      <c r="X59" s="79">
        <v>-894.44</v>
      </c>
      <c r="Y59" s="79"/>
      <c r="Z59" s="79">
        <v>-79.099999999999994</v>
      </c>
      <c r="AA59" s="79"/>
      <c r="AB59" s="79">
        <f t="shared" si="6"/>
        <v>-894.44</v>
      </c>
      <c r="AC59" s="79"/>
      <c r="AD59" s="79">
        <f t="shared" si="7"/>
        <v>-973.54</v>
      </c>
      <c r="AE59" s="79"/>
      <c r="AF59" s="97" t="s">
        <v>268</v>
      </c>
      <c r="AG59" s="97">
        <v>-1</v>
      </c>
      <c r="AH59" s="97" t="str">
        <f t="shared" si="8"/>
        <v>ok</v>
      </c>
      <c r="AI59" s="93" t="s">
        <v>30</v>
      </c>
      <c r="AJ59" s="1"/>
      <c r="AK59" s="79"/>
      <c r="AL59" s="79"/>
      <c r="AM59" s="79"/>
    </row>
    <row r="60" spans="1:39" x14ac:dyDescent="0.25">
      <c r="A60" s="79"/>
      <c r="B60" s="84" t="s">
        <v>131</v>
      </c>
      <c r="E60" s="79">
        <f t="shared" si="18"/>
        <v>54</v>
      </c>
      <c r="G60" s="59">
        <f t="shared" si="19"/>
        <v>0</v>
      </c>
      <c r="H60" s="58" t="str">
        <f t="shared" si="10"/>
        <v/>
      </c>
      <c r="I60" s="59">
        <f t="shared" si="20"/>
        <v>-1015669.54</v>
      </c>
      <c r="J60" s="58" t="str">
        <f t="shared" si="11"/>
        <v/>
      </c>
      <c r="K60" s="59">
        <f t="shared" si="21"/>
        <v>-920189.26</v>
      </c>
      <c r="L60" s="58" t="str">
        <f t="shared" si="12"/>
        <v/>
      </c>
      <c r="M60" s="59">
        <f t="shared" si="22"/>
        <v>-95480.28</v>
      </c>
      <c r="N60" s="58" t="str">
        <f t="shared" si="13"/>
        <v/>
      </c>
      <c r="O60" s="89">
        <f t="shared" si="14"/>
        <v>0</v>
      </c>
      <c r="Q60" s="60">
        <f t="shared" si="5"/>
        <v>0</v>
      </c>
      <c r="R60">
        <v>8410</v>
      </c>
      <c r="S60" s="79">
        <v>8410</v>
      </c>
      <c r="T60">
        <v>0</v>
      </c>
      <c r="U60" s="79"/>
      <c r="V60" s="79">
        <v>-24240</v>
      </c>
      <c r="W60" s="79"/>
      <c r="X60" s="79">
        <v>-22220</v>
      </c>
      <c r="Y60" s="79"/>
      <c r="Z60" s="79">
        <v>-2020</v>
      </c>
      <c r="AA60" s="79"/>
      <c r="AB60" s="79">
        <f t="shared" si="6"/>
        <v>-22220</v>
      </c>
      <c r="AC60" s="79"/>
      <c r="AD60" s="79">
        <f t="shared" si="7"/>
        <v>-24240</v>
      </c>
      <c r="AE60" s="79"/>
      <c r="AF60" s="97" t="s">
        <v>268</v>
      </c>
      <c r="AG60" s="97">
        <v>-1</v>
      </c>
      <c r="AH60" s="97" t="str">
        <f t="shared" si="8"/>
        <v>ok</v>
      </c>
      <c r="AI60" s="93" t="s">
        <v>31</v>
      </c>
      <c r="AJ60" s="1"/>
      <c r="AK60" s="79"/>
      <c r="AL60" s="79"/>
      <c r="AM60" s="79"/>
    </row>
    <row r="61" spans="1:39" x14ac:dyDescent="0.25">
      <c r="A61" s="79"/>
      <c r="B61" s="84" t="s">
        <v>233</v>
      </c>
      <c r="E61" s="79">
        <f t="shared" si="18"/>
        <v>55</v>
      </c>
      <c r="G61" s="59">
        <f t="shared" si="19"/>
        <v>0</v>
      </c>
      <c r="H61" s="58" t="str">
        <f t="shared" si="10"/>
        <v/>
      </c>
      <c r="I61" s="59">
        <f t="shared" si="20"/>
        <v>0</v>
      </c>
      <c r="J61" s="58" t="str">
        <f t="shared" si="11"/>
        <v/>
      </c>
      <c r="K61" s="59">
        <f t="shared" si="21"/>
        <v>0</v>
      </c>
      <c r="L61" s="58" t="str">
        <f t="shared" si="12"/>
        <v/>
      </c>
      <c r="M61" s="59">
        <f t="shared" si="22"/>
        <v>0</v>
      </c>
      <c r="N61" s="58" t="str">
        <f t="shared" si="13"/>
        <v/>
      </c>
      <c r="O61" s="89">
        <f t="shared" si="14"/>
        <v>0</v>
      </c>
      <c r="Q61" s="60">
        <f t="shared" si="5"/>
        <v>0</v>
      </c>
      <c r="R61">
        <v>8414</v>
      </c>
      <c r="S61" s="79">
        <v>8414</v>
      </c>
      <c r="T61">
        <v>0</v>
      </c>
      <c r="U61" s="79"/>
      <c r="V61" s="79">
        <v>-1988.96</v>
      </c>
      <c r="W61" s="79"/>
      <c r="X61" s="79">
        <v>-1547.4</v>
      </c>
      <c r="Y61" s="79"/>
      <c r="Z61" s="79">
        <v>-441.56</v>
      </c>
      <c r="AA61" s="79"/>
      <c r="AB61" s="79">
        <f t="shared" si="6"/>
        <v>-1547.4</v>
      </c>
      <c r="AC61" s="79"/>
      <c r="AD61" s="79">
        <f t="shared" si="7"/>
        <v>-1988.96</v>
      </c>
      <c r="AE61" s="79"/>
      <c r="AF61" s="97" t="s">
        <v>268</v>
      </c>
      <c r="AG61" s="97">
        <v>-1</v>
      </c>
      <c r="AH61" s="97" t="str">
        <f t="shared" si="8"/>
        <v>ok</v>
      </c>
      <c r="AI61" s="93" t="s">
        <v>32</v>
      </c>
      <c r="AJ61" s="1"/>
      <c r="AK61" s="79"/>
      <c r="AL61" s="79"/>
      <c r="AM61" s="79"/>
    </row>
    <row r="62" spans="1:39" x14ac:dyDescent="0.25">
      <c r="A62" s="79"/>
      <c r="B62" s="84" t="s">
        <v>103</v>
      </c>
      <c r="E62" s="79">
        <f t="shared" si="18"/>
        <v>56</v>
      </c>
      <c r="G62" s="59">
        <f t="shared" si="19"/>
        <v>9.0949470177292824E-13</v>
      </c>
      <c r="H62" s="58" t="str">
        <f t="shared" si="10"/>
        <v/>
      </c>
      <c r="I62" s="59">
        <f t="shared" si="20"/>
        <v>-15686.32</v>
      </c>
      <c r="J62" s="58" t="str">
        <f t="shared" si="11"/>
        <v/>
      </c>
      <c r="K62" s="59">
        <f t="shared" si="21"/>
        <v>-15659.9</v>
      </c>
      <c r="L62" s="58" t="str">
        <f t="shared" si="12"/>
        <v/>
      </c>
      <c r="M62" s="59">
        <f t="shared" si="22"/>
        <v>-26.42</v>
      </c>
      <c r="N62" s="58" t="str">
        <f t="shared" si="13"/>
        <v/>
      </c>
      <c r="O62" s="89">
        <f t="shared" si="14"/>
        <v>7.1054273576010019E-14</v>
      </c>
      <c r="Q62" s="60">
        <f t="shared" si="5"/>
        <v>0</v>
      </c>
      <c r="R62">
        <v>8420</v>
      </c>
      <c r="S62" s="79">
        <v>8420</v>
      </c>
      <c r="T62">
        <v>0</v>
      </c>
      <c r="U62" s="79"/>
      <c r="V62" s="79">
        <v>-147627.26</v>
      </c>
      <c r="W62" s="79"/>
      <c r="X62" s="79">
        <v>-135545.57</v>
      </c>
      <c r="Y62" s="79"/>
      <c r="Z62" s="79">
        <v>-12081.69</v>
      </c>
      <c r="AA62" s="79"/>
      <c r="AB62" s="79">
        <f t="shared" si="6"/>
        <v>-135545.57</v>
      </c>
      <c r="AC62" s="79"/>
      <c r="AD62" s="79">
        <f t="shared" si="7"/>
        <v>-147627.26</v>
      </c>
      <c r="AE62" s="79"/>
      <c r="AF62" s="97" t="s">
        <v>268</v>
      </c>
      <c r="AG62" s="97">
        <v>-1</v>
      </c>
      <c r="AH62" s="97" t="str">
        <f t="shared" si="8"/>
        <v>ok</v>
      </c>
      <c r="AI62" s="93" t="s">
        <v>33</v>
      </c>
      <c r="AJ62" s="1"/>
      <c r="AK62" s="79"/>
      <c r="AL62" s="79"/>
      <c r="AM62" s="79"/>
    </row>
    <row r="63" spans="1:39" x14ac:dyDescent="0.25">
      <c r="A63" s="79"/>
      <c r="B63" s="84" t="s">
        <v>102</v>
      </c>
      <c r="E63" s="79">
        <f t="shared" si="18"/>
        <v>57</v>
      </c>
      <c r="G63" s="59">
        <f t="shared" si="19"/>
        <v>0</v>
      </c>
      <c r="H63" s="58" t="str">
        <f t="shared" si="10"/>
        <v/>
      </c>
      <c r="I63" s="59">
        <f t="shared" si="20"/>
        <v>-28912.41</v>
      </c>
      <c r="J63" s="58" t="str">
        <f t="shared" si="11"/>
        <v/>
      </c>
      <c r="K63" s="59">
        <f t="shared" si="21"/>
        <v>-26024.18</v>
      </c>
      <c r="L63" s="58" t="str">
        <f t="shared" si="12"/>
        <v/>
      </c>
      <c r="M63" s="59">
        <f t="shared" si="22"/>
        <v>-2888.23</v>
      </c>
      <c r="N63" s="58" t="str">
        <f t="shared" si="13"/>
        <v/>
      </c>
      <c r="O63" s="89">
        <f t="shared" si="14"/>
        <v>0</v>
      </c>
      <c r="Q63" s="60">
        <f t="shared" si="5"/>
        <v>0</v>
      </c>
      <c r="R63">
        <v>8424</v>
      </c>
      <c r="S63" s="79">
        <v>8424</v>
      </c>
      <c r="T63">
        <v>0</v>
      </c>
      <c r="U63" s="79"/>
      <c r="V63" s="79">
        <v>-2769.57</v>
      </c>
      <c r="W63" s="79"/>
      <c r="X63" s="79">
        <v>-2769.57</v>
      </c>
      <c r="Y63" s="79"/>
      <c r="Z63" s="79">
        <v>0</v>
      </c>
      <c r="AA63" s="79"/>
      <c r="AB63" s="79">
        <f t="shared" si="6"/>
        <v>-2769.57</v>
      </c>
      <c r="AC63" s="79"/>
      <c r="AD63" s="79">
        <f t="shared" si="7"/>
        <v>-2769.57</v>
      </c>
      <c r="AE63" s="79"/>
      <c r="AF63" s="97" t="s">
        <v>268</v>
      </c>
      <c r="AG63" s="97">
        <v>-1</v>
      </c>
      <c r="AH63" s="97" t="str">
        <f t="shared" si="8"/>
        <v>ok</v>
      </c>
      <c r="AI63" s="93" t="s">
        <v>34</v>
      </c>
      <c r="AJ63" s="1"/>
      <c r="AK63" s="79"/>
      <c r="AL63" s="79"/>
      <c r="AM63" s="79"/>
    </row>
    <row r="64" spans="1:39" x14ac:dyDescent="0.25">
      <c r="A64" s="79"/>
      <c r="B64" s="84" t="s">
        <v>130</v>
      </c>
      <c r="E64" s="79">
        <f t="shared" si="18"/>
        <v>58</v>
      </c>
      <c r="G64" s="59">
        <f t="shared" si="19"/>
        <v>0</v>
      </c>
      <c r="H64" s="58" t="str">
        <f t="shared" si="10"/>
        <v/>
      </c>
      <c r="I64" s="59">
        <f t="shared" si="20"/>
        <v>-6265.43</v>
      </c>
      <c r="J64" s="58" t="str">
        <f t="shared" si="11"/>
        <v/>
      </c>
      <c r="K64" s="59">
        <f t="shared" si="21"/>
        <v>-6213.85</v>
      </c>
      <c r="L64" s="58" t="str">
        <f t="shared" si="12"/>
        <v/>
      </c>
      <c r="M64" s="59">
        <f t="shared" si="22"/>
        <v>-51.58</v>
      </c>
      <c r="N64" s="58" t="str">
        <f t="shared" si="13"/>
        <v/>
      </c>
      <c r="O64" s="89">
        <f t="shared" si="14"/>
        <v>-7.1054273576010019E-14</v>
      </c>
      <c r="Q64" s="60">
        <f t="shared" si="5"/>
        <v>0</v>
      </c>
      <c r="R64">
        <v>8426</v>
      </c>
      <c r="S64" s="79">
        <v>8426</v>
      </c>
      <c r="T64">
        <v>0</v>
      </c>
      <c r="U64" s="79"/>
      <c r="V64" s="79">
        <v>-8666.5400000000009</v>
      </c>
      <c r="W64" s="79"/>
      <c r="X64" s="79">
        <v>-7966.54</v>
      </c>
      <c r="Y64" s="79"/>
      <c r="Z64" s="79">
        <v>-700</v>
      </c>
      <c r="AA64" s="79"/>
      <c r="AB64" s="79">
        <f t="shared" si="6"/>
        <v>-7966.54</v>
      </c>
      <c r="AC64" s="79"/>
      <c r="AD64" s="79">
        <f t="shared" si="7"/>
        <v>-8666.5400000000009</v>
      </c>
      <c r="AE64" s="79"/>
      <c r="AF64" s="97" t="s">
        <v>268</v>
      </c>
      <c r="AG64" s="97">
        <v>-1</v>
      </c>
      <c r="AH64" s="97" t="str">
        <f t="shared" si="8"/>
        <v>ok</v>
      </c>
      <c r="AI64" s="93" t="s">
        <v>35</v>
      </c>
      <c r="AJ64" s="1"/>
      <c r="AK64" s="79"/>
      <c r="AL64" s="79"/>
      <c r="AM64" s="79"/>
    </row>
    <row r="65" spans="1:39" x14ac:dyDescent="0.25">
      <c r="A65" s="79"/>
      <c r="B65" s="84" t="s">
        <v>101</v>
      </c>
      <c r="E65" s="79">
        <f t="shared" si="18"/>
        <v>59</v>
      </c>
      <c r="G65" s="59">
        <f t="shared" si="19"/>
        <v>-1.4551915228366852E-11</v>
      </c>
      <c r="H65" s="58" t="str">
        <f t="shared" si="10"/>
        <v/>
      </c>
      <c r="I65" s="59">
        <f t="shared" si="20"/>
        <v>-115083.07</v>
      </c>
      <c r="J65" s="58" t="str">
        <f t="shared" si="11"/>
        <v/>
      </c>
      <c r="K65" s="59">
        <f t="shared" si="21"/>
        <v>-106124.34</v>
      </c>
      <c r="L65" s="58" t="str">
        <f t="shared" si="12"/>
        <v/>
      </c>
      <c r="M65" s="59">
        <f t="shared" si="22"/>
        <v>-8958.73</v>
      </c>
      <c r="N65" s="58" t="str">
        <f t="shared" si="13"/>
        <v/>
      </c>
      <c r="O65" s="89">
        <f t="shared" si="14"/>
        <v>0</v>
      </c>
      <c r="Q65" s="60">
        <f t="shared" si="5"/>
        <v>0</v>
      </c>
      <c r="R65">
        <v>8430</v>
      </c>
      <c r="S65" s="79">
        <v>8430</v>
      </c>
      <c r="T65">
        <v>1.1368683772161603E-13</v>
      </c>
      <c r="U65" s="79"/>
      <c r="V65" s="79">
        <v>-7055.5</v>
      </c>
      <c r="W65" s="79"/>
      <c r="X65" s="79">
        <v>-6869.37</v>
      </c>
      <c r="Y65" s="79"/>
      <c r="Z65" s="79">
        <v>-186.13</v>
      </c>
      <c r="AA65" s="79"/>
      <c r="AB65" s="79">
        <f t="shared" si="6"/>
        <v>-6869.37</v>
      </c>
      <c r="AC65" s="79"/>
      <c r="AD65" s="79">
        <f t="shared" si="7"/>
        <v>-7055.5</v>
      </c>
      <c r="AE65" s="79"/>
      <c r="AF65" s="97" t="s">
        <v>268</v>
      </c>
      <c r="AG65" s="97">
        <v>-1</v>
      </c>
      <c r="AH65" s="97" t="str">
        <f t="shared" si="8"/>
        <v>ok</v>
      </c>
      <c r="AI65" s="93" t="s">
        <v>36</v>
      </c>
      <c r="AJ65" s="1"/>
      <c r="AK65" s="79"/>
      <c r="AL65" s="79"/>
      <c r="AM65" s="79"/>
    </row>
    <row r="66" spans="1:39" x14ac:dyDescent="0.25">
      <c r="A66" s="79"/>
      <c r="B66" s="84" t="s">
        <v>287</v>
      </c>
      <c r="E66" s="79">
        <f t="shared" si="18"/>
        <v>60</v>
      </c>
      <c r="G66" s="59">
        <f t="shared" si="19"/>
        <v>0</v>
      </c>
      <c r="H66" s="58" t="str">
        <f t="shared" si="10"/>
        <v/>
      </c>
      <c r="I66" s="59">
        <f t="shared" si="20"/>
        <v>0</v>
      </c>
      <c r="J66" s="58" t="str">
        <f t="shared" si="11"/>
        <v/>
      </c>
      <c r="K66" s="59">
        <f t="shared" si="21"/>
        <v>0</v>
      </c>
      <c r="L66" s="58" t="str">
        <f t="shared" si="12"/>
        <v/>
      </c>
      <c r="M66" s="59">
        <f t="shared" si="22"/>
        <v>0</v>
      </c>
      <c r="N66" s="58" t="str">
        <f t="shared" si="13"/>
        <v/>
      </c>
      <c r="O66" s="89">
        <f t="shared" si="14"/>
        <v>0</v>
      </c>
      <c r="Q66" s="60">
        <f t="shared" si="5"/>
        <v>0</v>
      </c>
      <c r="R66">
        <v>8433</v>
      </c>
      <c r="S66" s="79">
        <v>8433</v>
      </c>
      <c r="T66">
        <v>0</v>
      </c>
      <c r="U66" s="79"/>
      <c r="V66" s="79">
        <v>-1385</v>
      </c>
      <c r="W66" s="79"/>
      <c r="X66" s="79">
        <v>-1235</v>
      </c>
      <c r="Y66" s="79"/>
      <c r="Z66" s="79">
        <v>-150</v>
      </c>
      <c r="AA66" s="79"/>
      <c r="AB66" s="79">
        <f t="shared" si="6"/>
        <v>-1235</v>
      </c>
      <c r="AC66" s="79"/>
      <c r="AD66" s="79">
        <f t="shared" si="7"/>
        <v>-1385</v>
      </c>
      <c r="AE66" s="79"/>
      <c r="AF66" s="97" t="s">
        <v>268</v>
      </c>
      <c r="AG66" s="97">
        <v>-1</v>
      </c>
      <c r="AH66" s="97" t="str">
        <f t="shared" si="8"/>
        <v>ok</v>
      </c>
      <c r="AI66" s="93" t="s">
        <v>29</v>
      </c>
      <c r="AJ66" s="1"/>
      <c r="AK66" s="79"/>
      <c r="AL66" s="79"/>
      <c r="AM66" s="79"/>
    </row>
    <row r="67" spans="1:39" x14ac:dyDescent="0.25">
      <c r="A67" s="79"/>
      <c r="B67" s="84" t="s">
        <v>288</v>
      </c>
      <c r="E67" s="79">
        <f t="shared" si="18"/>
        <v>61</v>
      </c>
      <c r="G67" s="59">
        <f t="shared" si="19"/>
        <v>0</v>
      </c>
      <c r="H67" s="58" t="str">
        <f t="shared" si="10"/>
        <v/>
      </c>
      <c r="I67" s="59">
        <f t="shared" si="20"/>
        <v>0</v>
      </c>
      <c r="J67" s="58" t="str">
        <f t="shared" si="11"/>
        <v/>
      </c>
      <c r="K67" s="59">
        <f t="shared" si="21"/>
        <v>0</v>
      </c>
      <c r="L67" s="58" t="str">
        <f t="shared" si="12"/>
        <v/>
      </c>
      <c r="M67" s="59">
        <f t="shared" si="22"/>
        <v>0</v>
      </c>
      <c r="N67" s="58" t="str">
        <f t="shared" si="13"/>
        <v/>
      </c>
      <c r="O67" s="89">
        <f t="shared" si="14"/>
        <v>0</v>
      </c>
      <c r="Q67" s="60">
        <f t="shared" si="5"/>
        <v>0</v>
      </c>
      <c r="R67">
        <v>8435</v>
      </c>
      <c r="S67" s="79">
        <v>8435</v>
      </c>
      <c r="T67">
        <v>0</v>
      </c>
      <c r="U67" s="79"/>
      <c r="V67" s="79">
        <v>-2428.98</v>
      </c>
      <c r="W67" s="79"/>
      <c r="X67" s="79">
        <v>-1506.38</v>
      </c>
      <c r="Y67" s="79"/>
      <c r="Z67" s="79">
        <v>-922.6</v>
      </c>
      <c r="AA67" s="79"/>
      <c r="AB67" s="79">
        <f t="shared" si="6"/>
        <v>-1506.38</v>
      </c>
      <c r="AC67" s="79"/>
      <c r="AD67" s="79">
        <f t="shared" si="7"/>
        <v>-2428.98</v>
      </c>
      <c r="AE67" s="79"/>
      <c r="AF67" s="97" t="s">
        <v>268</v>
      </c>
      <c r="AG67" s="97">
        <v>-1</v>
      </c>
      <c r="AH67" s="97" t="str">
        <f t="shared" si="8"/>
        <v>ok</v>
      </c>
      <c r="AI67" s="93" t="s">
        <v>37</v>
      </c>
      <c r="AJ67" s="1"/>
      <c r="AK67" s="79"/>
      <c r="AL67" s="79"/>
      <c r="AM67" s="79"/>
    </row>
    <row r="68" spans="1:39" x14ac:dyDescent="0.25">
      <c r="A68" s="79"/>
      <c r="B68" s="84" t="s">
        <v>234</v>
      </c>
      <c r="E68" s="79">
        <f t="shared" si="18"/>
        <v>62</v>
      </c>
      <c r="G68" s="59">
        <f t="shared" si="19"/>
        <v>0</v>
      </c>
      <c r="H68" s="58" t="str">
        <f t="shared" si="10"/>
        <v/>
      </c>
      <c r="I68" s="59">
        <f t="shared" si="20"/>
        <v>-9000</v>
      </c>
      <c r="J68" s="58" t="str">
        <f t="shared" si="11"/>
        <v/>
      </c>
      <c r="K68" s="59">
        <f t="shared" si="21"/>
        <v>-8250</v>
      </c>
      <c r="L68" s="58" t="str">
        <f t="shared" si="12"/>
        <v/>
      </c>
      <c r="M68" s="59">
        <f t="shared" si="22"/>
        <v>-750</v>
      </c>
      <c r="N68" s="58" t="str">
        <f t="shared" si="13"/>
        <v/>
      </c>
      <c r="O68" s="89">
        <f t="shared" si="14"/>
        <v>0</v>
      </c>
      <c r="Q68" s="60">
        <f t="shared" si="5"/>
        <v>0</v>
      </c>
      <c r="R68">
        <v>8440</v>
      </c>
      <c r="S68" s="79">
        <v>8440</v>
      </c>
      <c r="T68">
        <v>0</v>
      </c>
      <c r="V68" s="79">
        <v>-6728.89</v>
      </c>
      <c r="W68" s="79"/>
      <c r="X68" s="79">
        <v>-6218.89</v>
      </c>
      <c r="Y68" s="79"/>
      <c r="Z68" s="79">
        <v>-510</v>
      </c>
      <c r="AA68" s="79"/>
      <c r="AB68" s="79">
        <f t="shared" si="6"/>
        <v>-6218.89</v>
      </c>
      <c r="AC68" s="79"/>
      <c r="AD68" s="79">
        <f t="shared" si="7"/>
        <v>-6728.89</v>
      </c>
      <c r="AE68" s="79"/>
      <c r="AF68" s="97" t="s">
        <v>268</v>
      </c>
      <c r="AG68" s="97">
        <v>-1</v>
      </c>
      <c r="AH68" s="97" t="str">
        <f t="shared" ref="AH68" si="29">IF(AG68=1,IF(V68&gt;=0,"ok","-ve"),IF(AG68=-1,IF(V68&lt;=0,"ok","+ve"),"#err#"))</f>
        <v>ok</v>
      </c>
      <c r="AI68" s="93" t="s">
        <v>38</v>
      </c>
      <c r="AJ68" s="79"/>
      <c r="AK68" s="79"/>
      <c r="AL68" s="79"/>
      <c r="AM68" s="79"/>
    </row>
    <row r="69" spans="1:39" x14ac:dyDescent="0.25">
      <c r="A69" s="79"/>
      <c r="B69" s="84" t="s">
        <v>129</v>
      </c>
      <c r="E69" s="79">
        <f t="shared" si="18"/>
        <v>63</v>
      </c>
      <c r="G69" s="59">
        <f t="shared" si="19"/>
        <v>0</v>
      </c>
      <c r="H69" s="58" t="str">
        <f t="shared" si="10"/>
        <v/>
      </c>
      <c r="I69" s="59">
        <f t="shared" si="20"/>
        <v>-33148.980000000003</v>
      </c>
      <c r="J69" s="58" t="str">
        <f t="shared" si="11"/>
        <v/>
      </c>
      <c r="K69" s="59">
        <f t="shared" si="21"/>
        <v>-29935.53</v>
      </c>
      <c r="L69" s="58" t="str">
        <f t="shared" si="12"/>
        <v/>
      </c>
      <c r="M69" s="59">
        <f t="shared" si="22"/>
        <v>-3213.45</v>
      </c>
      <c r="N69" s="58" t="str">
        <f t="shared" si="13"/>
        <v/>
      </c>
      <c r="O69" s="89">
        <f t="shared" si="14"/>
        <v>4.5474735088646412E-12</v>
      </c>
      <c r="Q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I69" s="79"/>
      <c r="AJ69" s="79"/>
      <c r="AK69" s="79"/>
      <c r="AL69" s="79"/>
      <c r="AM69" s="79"/>
    </row>
    <row r="70" spans="1:39" x14ac:dyDescent="0.25">
      <c r="A70" s="79"/>
      <c r="B70" s="84" t="s">
        <v>164</v>
      </c>
      <c r="E70" s="79">
        <f t="shared" si="18"/>
        <v>64</v>
      </c>
      <c r="G70" s="59">
        <f t="shared" si="19"/>
        <v>0</v>
      </c>
      <c r="H70" s="58" t="str">
        <f t="shared" si="10"/>
        <v/>
      </c>
      <c r="I70" s="59">
        <f t="shared" si="20"/>
        <v>-1038.4100000000001</v>
      </c>
      <c r="J70" s="58" t="str">
        <f t="shared" si="11"/>
        <v/>
      </c>
      <c r="K70" s="59">
        <f t="shared" si="21"/>
        <v>-1038.4100000000001</v>
      </c>
      <c r="L70" s="58" t="str">
        <f t="shared" si="12"/>
        <v/>
      </c>
      <c r="M70" s="59">
        <f t="shared" si="22"/>
        <v>0</v>
      </c>
      <c r="N70" s="58" t="str">
        <f t="shared" si="13"/>
        <v/>
      </c>
      <c r="O70" s="89">
        <f t="shared" si="14"/>
        <v>0</v>
      </c>
      <c r="Q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I70" s="79"/>
      <c r="AJ70" s="79"/>
      <c r="AK70" s="79"/>
      <c r="AL70" s="79"/>
      <c r="AM70" s="79"/>
    </row>
    <row r="71" spans="1:39" x14ac:dyDescent="0.25">
      <c r="A71" s="79"/>
      <c r="B71" s="84" t="s">
        <v>100</v>
      </c>
      <c r="E71" s="79">
        <f t="shared" si="18"/>
        <v>65</v>
      </c>
      <c r="G71" s="59">
        <f t="shared" si="19"/>
        <v>0</v>
      </c>
      <c r="H71" s="58" t="str">
        <f t="shared" si="10"/>
        <v/>
      </c>
      <c r="I71" s="59">
        <f t="shared" si="20"/>
        <v>-11237.29</v>
      </c>
      <c r="J71" s="58" t="str">
        <f t="shared" si="11"/>
        <v/>
      </c>
      <c r="K71" s="59">
        <f t="shared" si="21"/>
        <v>-10143.92</v>
      </c>
      <c r="L71" s="58" t="str">
        <f t="shared" si="12"/>
        <v/>
      </c>
      <c r="M71" s="59">
        <f t="shared" si="22"/>
        <v>-1093.3699999999999</v>
      </c>
      <c r="N71" s="58" t="str">
        <f t="shared" si="13"/>
        <v/>
      </c>
      <c r="O71" s="89">
        <f t="shared" si="14"/>
        <v>0</v>
      </c>
      <c r="Q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I71" s="79"/>
      <c r="AJ71" s="79"/>
      <c r="AK71" s="79"/>
      <c r="AL71" s="79"/>
      <c r="AM71" s="79"/>
    </row>
    <row r="72" spans="1:39" x14ac:dyDescent="0.25">
      <c r="A72" s="79"/>
      <c r="B72" s="84" t="s">
        <v>128</v>
      </c>
      <c r="E72" s="79">
        <f t="shared" si="18"/>
        <v>66</v>
      </c>
      <c r="G72" s="59">
        <f t="shared" si="19"/>
        <v>0</v>
      </c>
      <c r="H72" s="58" t="str">
        <f t="shared" si="10"/>
        <v/>
      </c>
      <c r="I72" s="59">
        <f t="shared" si="20"/>
        <v>-105</v>
      </c>
      <c r="J72" s="58" t="str">
        <f t="shared" si="11"/>
        <v/>
      </c>
      <c r="K72" s="59">
        <f t="shared" si="21"/>
        <v>-105</v>
      </c>
      <c r="L72" s="58" t="str">
        <f t="shared" si="12"/>
        <v/>
      </c>
      <c r="M72" s="59">
        <f t="shared" si="22"/>
        <v>0</v>
      </c>
      <c r="N72" s="58" t="str">
        <f t="shared" si="13"/>
        <v/>
      </c>
      <c r="O72" s="89">
        <f t="shared" si="14"/>
        <v>0</v>
      </c>
      <c r="Q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I72" s="79"/>
      <c r="AJ72" s="79"/>
      <c r="AK72" s="79"/>
      <c r="AL72" s="79"/>
      <c r="AM72" s="79"/>
    </row>
    <row r="73" spans="1:39" x14ac:dyDescent="0.25">
      <c r="A73" s="79"/>
      <c r="B73" s="84" t="s">
        <v>127</v>
      </c>
      <c r="E73" s="79">
        <f t="shared" si="18"/>
        <v>67</v>
      </c>
      <c r="G73" s="59">
        <f t="shared" si="19"/>
        <v>0</v>
      </c>
      <c r="H73" s="58" t="str">
        <f t="shared" si="10"/>
        <v/>
      </c>
      <c r="I73" s="59">
        <f t="shared" si="20"/>
        <v>-11040</v>
      </c>
      <c r="J73" s="58" t="str">
        <f t="shared" si="11"/>
        <v/>
      </c>
      <c r="K73" s="59">
        <f t="shared" si="21"/>
        <v>-10120</v>
      </c>
      <c r="L73" s="58" t="str">
        <f t="shared" si="12"/>
        <v/>
      </c>
      <c r="M73" s="59">
        <f t="shared" si="22"/>
        <v>-920</v>
      </c>
      <c r="N73" s="58" t="str">
        <f t="shared" si="13"/>
        <v/>
      </c>
      <c r="O73" s="89">
        <f t="shared" si="14"/>
        <v>0</v>
      </c>
      <c r="Q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I73" s="79"/>
      <c r="AJ73" s="79"/>
      <c r="AK73" s="79"/>
      <c r="AL73" s="79"/>
      <c r="AM73" s="79"/>
    </row>
    <row r="74" spans="1:39" x14ac:dyDescent="0.25">
      <c r="A74" s="79"/>
      <c r="B74" s="84" t="s">
        <v>126</v>
      </c>
      <c r="E74" s="79">
        <f t="shared" si="18"/>
        <v>68</v>
      </c>
      <c r="G74" s="59">
        <f t="shared" si="19"/>
        <v>0</v>
      </c>
      <c r="H74" s="58" t="str">
        <f t="shared" si="10"/>
        <v/>
      </c>
      <c r="I74" s="59">
        <f t="shared" si="20"/>
        <v>-91011.15</v>
      </c>
      <c r="J74" s="58" t="str">
        <f t="shared" si="11"/>
        <v/>
      </c>
      <c r="K74" s="59">
        <f t="shared" si="21"/>
        <v>-83511.149999999994</v>
      </c>
      <c r="L74" s="58" t="str">
        <f t="shared" si="12"/>
        <v/>
      </c>
      <c r="M74" s="59">
        <f t="shared" si="22"/>
        <v>-7500</v>
      </c>
      <c r="N74" s="58" t="str">
        <f t="shared" si="13"/>
        <v/>
      </c>
      <c r="O74" s="89">
        <f t="shared" si="14"/>
        <v>0</v>
      </c>
      <c r="Q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I74" s="79"/>
      <c r="AJ74" s="79"/>
      <c r="AK74" s="79"/>
      <c r="AL74" s="79"/>
      <c r="AM74" s="79"/>
    </row>
    <row r="75" spans="1:39" x14ac:dyDescent="0.25">
      <c r="A75" s="79"/>
      <c r="B75" s="84" t="s">
        <v>99</v>
      </c>
      <c r="E75" s="79">
        <f t="shared" ref="E75:E102" si="30">MATCH(B75,INDEX(SageTrialBalance,,1),0)</f>
        <v>69</v>
      </c>
      <c r="G75" s="59">
        <f t="shared" si="19"/>
        <v>0</v>
      </c>
      <c r="H75" s="58" t="str">
        <f t="shared" si="10"/>
        <v/>
      </c>
      <c r="I75" s="59">
        <f t="shared" si="20"/>
        <v>-17640.16</v>
      </c>
      <c r="J75" s="58" t="str">
        <f t="shared" si="11"/>
        <v/>
      </c>
      <c r="K75" s="59">
        <f t="shared" si="21"/>
        <v>-16310.95</v>
      </c>
      <c r="L75" s="58" t="str">
        <f t="shared" si="12"/>
        <v/>
      </c>
      <c r="M75" s="59">
        <f t="shared" si="22"/>
        <v>-1329.21</v>
      </c>
      <c r="N75" s="58" t="str">
        <f t="shared" si="13"/>
        <v/>
      </c>
      <c r="O75" s="89">
        <f t="shared" si="14"/>
        <v>0</v>
      </c>
      <c r="Q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I75" s="79"/>
      <c r="AJ75" s="79"/>
      <c r="AK75" s="79"/>
      <c r="AL75" s="79"/>
      <c r="AM75" s="79"/>
    </row>
    <row r="76" spans="1:39" x14ac:dyDescent="0.25">
      <c r="A76" s="79"/>
      <c r="B76" s="102" t="s">
        <v>322</v>
      </c>
      <c r="E76" s="79">
        <f t="shared" si="30"/>
        <v>70</v>
      </c>
      <c r="G76" s="59">
        <f t="shared" si="19"/>
        <v>0</v>
      </c>
      <c r="H76" s="58" t="str">
        <f t="shared" si="10"/>
        <v/>
      </c>
      <c r="I76" s="59">
        <f t="shared" si="20"/>
        <v>-61</v>
      </c>
      <c r="J76" s="58" t="str">
        <f t="shared" si="11"/>
        <v/>
      </c>
      <c r="K76" s="59">
        <f t="shared" si="21"/>
        <v>-61</v>
      </c>
      <c r="L76" s="58" t="str">
        <f t="shared" si="12"/>
        <v/>
      </c>
      <c r="M76" s="59">
        <f t="shared" si="22"/>
        <v>0</v>
      </c>
      <c r="N76" s="58" t="str">
        <f t="shared" si="13"/>
        <v/>
      </c>
      <c r="O76" s="89">
        <f t="shared" si="14"/>
        <v>0</v>
      </c>
      <c r="Q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I76" s="79"/>
      <c r="AJ76" s="79"/>
      <c r="AK76" s="79"/>
      <c r="AL76" s="79"/>
      <c r="AM76" s="79"/>
    </row>
    <row r="77" spans="1:39" x14ac:dyDescent="0.25">
      <c r="A77" s="79"/>
      <c r="B77" s="102">
        <v>7604</v>
      </c>
      <c r="C77" s="79"/>
      <c r="D77" s="79"/>
      <c r="E77" s="79">
        <f t="shared" ref="E77" si="31">MATCH(B77,INDEX(SageTrialBalance,,1),0)</f>
        <v>71</v>
      </c>
      <c r="F77" s="79"/>
      <c r="G77" s="59">
        <f t="shared" si="19"/>
        <v>0</v>
      </c>
      <c r="H77" s="58" t="str">
        <f t="shared" ref="H77" si="32">IF($C77,IF(G77&lt;&gt;0,"#Err#","ok"),"")</f>
        <v/>
      </c>
      <c r="I77" s="59">
        <f t="shared" si="20"/>
        <v>-1084.5</v>
      </c>
      <c r="J77" s="58" t="str">
        <f t="shared" ref="J77" si="33">IF($C77,IF(I77&lt;&gt;0,"#Err#","ok"),"")</f>
        <v/>
      </c>
      <c r="K77" s="59">
        <f t="shared" si="21"/>
        <v>-1084.5</v>
      </c>
      <c r="L77" s="58" t="str">
        <f t="shared" ref="L77" si="34">IF($C77,IF(K77&lt;&gt;0,"#Err#","ok"),"")</f>
        <v/>
      </c>
      <c r="M77" s="59">
        <f t="shared" si="22"/>
        <v>0</v>
      </c>
      <c r="N77" s="58" t="str">
        <f t="shared" ref="N77" si="35">IF($C77,IF(M77&lt;&gt;0,"#Err#","ok"),"")</f>
        <v/>
      </c>
      <c r="O77" s="89">
        <f t="shared" ref="O77" si="36">M77-(I77-K77)</f>
        <v>0</v>
      </c>
      <c r="Q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I77" s="79"/>
      <c r="AJ77" s="79"/>
      <c r="AK77" s="79"/>
      <c r="AL77" s="79"/>
      <c r="AM77" s="79"/>
    </row>
    <row r="78" spans="1:39" x14ac:dyDescent="0.25">
      <c r="A78" s="79"/>
      <c r="B78" s="102" t="s">
        <v>323</v>
      </c>
      <c r="E78" s="79">
        <f t="shared" si="30"/>
        <v>72</v>
      </c>
      <c r="G78" s="59">
        <f t="shared" ref="G78:G103" si="37">INDEX(SageTrialBalance,$E78,G$6)</f>
        <v>0</v>
      </c>
      <c r="H78" s="58" t="str">
        <f t="shared" si="10"/>
        <v/>
      </c>
      <c r="I78" s="59">
        <f t="shared" ref="I78:I103" si="38">INDEX(SageTrialBalance,$E78,I$6)</f>
        <v>158.02000000000001</v>
      </c>
      <c r="J78" s="58" t="str">
        <f t="shared" si="11"/>
        <v/>
      </c>
      <c r="K78" s="59">
        <f t="shared" ref="K78:K103" si="39">INDEX(SageTrialBalance,$E78,K$6)</f>
        <v>158.02000000000001</v>
      </c>
      <c r="L78" s="58" t="str">
        <f t="shared" si="12"/>
        <v/>
      </c>
      <c r="M78" s="59">
        <f t="shared" ref="M78:M103" si="40">INDEX(SageTrialBalance,$E78,M$6)</f>
        <v>0</v>
      </c>
      <c r="N78" s="58" t="str">
        <f t="shared" si="13"/>
        <v/>
      </c>
      <c r="O78" s="89">
        <f t="shared" si="14"/>
        <v>0</v>
      </c>
      <c r="Q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I78" s="79"/>
      <c r="AJ78" s="79"/>
      <c r="AK78" s="79"/>
      <c r="AL78" s="79"/>
      <c r="AM78" s="79"/>
    </row>
    <row r="79" spans="1:39" x14ac:dyDescent="0.25">
      <c r="A79" s="79"/>
      <c r="B79" s="84" t="s">
        <v>207</v>
      </c>
      <c r="E79" s="79">
        <f t="shared" si="30"/>
        <v>73</v>
      </c>
      <c r="G79" s="59">
        <f t="shared" si="37"/>
        <v>0</v>
      </c>
      <c r="H79" s="58" t="str">
        <f t="shared" ref="H79:H102" si="41">IF($C79,IF(G79&lt;&gt;0,"#Err#","ok"),"")</f>
        <v/>
      </c>
      <c r="I79" s="59">
        <f t="shared" si="38"/>
        <v>-2530.94</v>
      </c>
      <c r="J79" s="58" t="str">
        <f t="shared" ref="J79:J102" si="42">IF($C79,IF(I79&lt;&gt;0,"#Err#","ok"),"")</f>
        <v/>
      </c>
      <c r="K79" s="59">
        <f t="shared" si="39"/>
        <v>-2530.9499999999998</v>
      </c>
      <c r="L79" s="58" t="str">
        <f t="shared" ref="L79:L102" si="43">IF($C79,IF(K79&lt;&gt;0,"#Err#","ok"),"")</f>
        <v/>
      </c>
      <c r="M79" s="59">
        <f t="shared" si="40"/>
        <v>0.01</v>
      </c>
      <c r="N79" s="58" t="str">
        <f t="shared" ref="N79:N102" si="44">IF($C79,IF(M79&lt;&gt;0,"#Err#","ok"),"")</f>
        <v/>
      </c>
      <c r="O79" s="89">
        <f t="shared" ref="O79:O98" si="45">M79-(I79-K79)</f>
        <v>2.3646883062777846E-13</v>
      </c>
      <c r="Q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I79" s="79"/>
      <c r="AJ79" s="79"/>
      <c r="AK79" s="79"/>
      <c r="AL79" s="79"/>
      <c r="AM79" s="79"/>
    </row>
    <row r="80" spans="1:39" x14ac:dyDescent="0.25">
      <c r="A80" s="79"/>
      <c r="B80" s="84" t="s">
        <v>125</v>
      </c>
      <c r="E80" s="79">
        <f t="shared" si="30"/>
        <v>74</v>
      </c>
      <c r="G80" s="59">
        <f t="shared" si="37"/>
        <v>0</v>
      </c>
      <c r="H80" s="58" t="str">
        <f t="shared" si="41"/>
        <v/>
      </c>
      <c r="I80" s="59">
        <f t="shared" si="38"/>
        <v>-1.21</v>
      </c>
      <c r="J80" s="58" t="str">
        <f t="shared" si="42"/>
        <v/>
      </c>
      <c r="K80" s="59">
        <f t="shared" si="39"/>
        <v>-1.21</v>
      </c>
      <c r="L80" s="58" t="str">
        <f t="shared" si="43"/>
        <v/>
      </c>
      <c r="M80" s="59">
        <f t="shared" si="40"/>
        <v>0</v>
      </c>
      <c r="N80" s="58" t="str">
        <f t="shared" si="44"/>
        <v/>
      </c>
      <c r="O80" s="89">
        <f t="shared" si="45"/>
        <v>0</v>
      </c>
      <c r="Q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I80" s="79"/>
      <c r="AJ80" s="79"/>
      <c r="AK80" s="79"/>
      <c r="AL80" s="79"/>
      <c r="AM80" s="79"/>
    </row>
    <row r="81" spans="1:39" x14ac:dyDescent="0.25">
      <c r="A81" s="79"/>
      <c r="B81" s="84" t="s">
        <v>165</v>
      </c>
      <c r="E81" s="79">
        <f t="shared" si="30"/>
        <v>75</v>
      </c>
      <c r="G81" s="59">
        <f t="shared" si="37"/>
        <v>-2.8421709430404007E-14</v>
      </c>
      <c r="H81" s="58" t="str">
        <f t="shared" si="41"/>
        <v/>
      </c>
      <c r="I81" s="59">
        <f t="shared" si="38"/>
        <v>0</v>
      </c>
      <c r="J81" s="58" t="str">
        <f t="shared" si="42"/>
        <v/>
      </c>
      <c r="K81" s="59">
        <f t="shared" si="39"/>
        <v>0</v>
      </c>
      <c r="L81" s="58" t="str">
        <f t="shared" si="43"/>
        <v/>
      </c>
      <c r="M81" s="59">
        <f t="shared" si="40"/>
        <v>0</v>
      </c>
      <c r="N81" s="58" t="str">
        <f t="shared" si="44"/>
        <v/>
      </c>
      <c r="O81" s="89">
        <f t="shared" si="45"/>
        <v>0</v>
      </c>
      <c r="Q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I81" s="79"/>
      <c r="AJ81" s="79"/>
      <c r="AK81" s="79"/>
      <c r="AL81" s="79"/>
      <c r="AM81" s="79"/>
    </row>
    <row r="82" spans="1:39" x14ac:dyDescent="0.25">
      <c r="A82" s="79"/>
      <c r="B82" s="84" t="s">
        <v>124</v>
      </c>
      <c r="E82" s="79">
        <f t="shared" si="30"/>
        <v>76</v>
      </c>
      <c r="G82" s="59">
        <f t="shared" si="37"/>
        <v>0</v>
      </c>
      <c r="H82" s="58" t="str">
        <f t="shared" si="41"/>
        <v/>
      </c>
      <c r="I82" s="59">
        <f t="shared" si="38"/>
        <v>-3600</v>
      </c>
      <c r="J82" s="58" t="str">
        <f t="shared" si="42"/>
        <v/>
      </c>
      <c r="K82" s="59">
        <f t="shared" si="39"/>
        <v>-3300</v>
      </c>
      <c r="L82" s="58" t="str">
        <f t="shared" si="43"/>
        <v/>
      </c>
      <c r="M82" s="59">
        <f t="shared" si="40"/>
        <v>-300</v>
      </c>
      <c r="N82" s="58" t="str">
        <f t="shared" si="44"/>
        <v/>
      </c>
      <c r="O82" s="89">
        <f t="shared" si="45"/>
        <v>0</v>
      </c>
      <c r="Q82" s="79"/>
    </row>
    <row r="83" spans="1:39" x14ac:dyDescent="0.25">
      <c r="A83" s="79"/>
      <c r="B83" s="84" t="s">
        <v>289</v>
      </c>
      <c r="E83" s="79">
        <f t="shared" si="30"/>
        <v>77</v>
      </c>
      <c r="G83" s="59">
        <f t="shared" si="37"/>
        <v>0</v>
      </c>
      <c r="H83" s="58" t="str">
        <f t="shared" si="41"/>
        <v/>
      </c>
      <c r="I83" s="59">
        <f t="shared" si="38"/>
        <v>-219</v>
      </c>
      <c r="J83" s="58" t="str">
        <f t="shared" si="42"/>
        <v/>
      </c>
      <c r="K83" s="59">
        <f t="shared" si="39"/>
        <v>-39</v>
      </c>
      <c r="L83" s="58" t="str">
        <f t="shared" si="43"/>
        <v/>
      </c>
      <c r="M83" s="59">
        <f t="shared" si="40"/>
        <v>-180</v>
      </c>
      <c r="N83" s="58" t="str">
        <f t="shared" si="44"/>
        <v/>
      </c>
      <c r="O83" s="89">
        <f t="shared" si="45"/>
        <v>0</v>
      </c>
      <c r="Q83" s="79"/>
    </row>
    <row r="84" spans="1:39" x14ac:dyDescent="0.25">
      <c r="A84" s="79"/>
      <c r="B84" s="84" t="s">
        <v>98</v>
      </c>
      <c r="E84" s="79">
        <f t="shared" si="30"/>
        <v>78</v>
      </c>
      <c r="G84" s="59">
        <f t="shared" si="37"/>
        <v>0</v>
      </c>
      <c r="H84" s="58" t="str">
        <f t="shared" si="41"/>
        <v/>
      </c>
      <c r="I84" s="59">
        <f t="shared" si="38"/>
        <v>-1999.72</v>
      </c>
      <c r="J84" s="58" t="str">
        <f t="shared" si="42"/>
        <v/>
      </c>
      <c r="K84" s="59">
        <f t="shared" si="39"/>
        <v>-1871.31</v>
      </c>
      <c r="L84" s="58" t="str">
        <f t="shared" si="43"/>
        <v/>
      </c>
      <c r="M84" s="59">
        <f t="shared" si="40"/>
        <v>-128.41</v>
      </c>
      <c r="N84" s="58" t="str">
        <f t="shared" si="44"/>
        <v/>
      </c>
      <c r="O84" s="89">
        <f t="shared" si="45"/>
        <v>0</v>
      </c>
      <c r="Q84" s="79"/>
    </row>
    <row r="85" spans="1:39" x14ac:dyDescent="0.25">
      <c r="A85" s="79"/>
      <c r="B85" s="84" t="s">
        <v>123</v>
      </c>
      <c r="E85" s="79">
        <f t="shared" si="30"/>
        <v>79</v>
      </c>
      <c r="G85" s="59">
        <f t="shared" si="37"/>
        <v>0</v>
      </c>
      <c r="H85" s="58" t="str">
        <f t="shared" si="41"/>
        <v/>
      </c>
      <c r="I85" s="59">
        <f t="shared" si="38"/>
        <v>-3000</v>
      </c>
      <c r="J85" s="58" t="str">
        <f t="shared" si="42"/>
        <v/>
      </c>
      <c r="K85" s="59">
        <f t="shared" si="39"/>
        <v>-2750</v>
      </c>
      <c r="L85" s="58" t="str">
        <f t="shared" si="43"/>
        <v/>
      </c>
      <c r="M85" s="59">
        <f t="shared" si="40"/>
        <v>-250</v>
      </c>
      <c r="N85" s="58" t="str">
        <f t="shared" si="44"/>
        <v/>
      </c>
      <c r="O85" s="89">
        <f t="shared" si="45"/>
        <v>0</v>
      </c>
      <c r="Q85" s="79"/>
    </row>
    <row r="86" spans="1:39" x14ac:dyDescent="0.25">
      <c r="A86" s="79"/>
      <c r="B86" s="84" t="s">
        <v>235</v>
      </c>
      <c r="E86" s="79">
        <f t="shared" si="30"/>
        <v>80</v>
      </c>
      <c r="G86" s="59">
        <f t="shared" si="37"/>
        <v>0</v>
      </c>
      <c r="H86" s="58" t="str">
        <f t="shared" si="41"/>
        <v/>
      </c>
      <c r="I86" s="59">
        <f t="shared" si="38"/>
        <v>0</v>
      </c>
      <c r="J86" s="58" t="str">
        <f t="shared" si="42"/>
        <v/>
      </c>
      <c r="K86" s="59">
        <f t="shared" si="39"/>
        <v>0</v>
      </c>
      <c r="L86" s="58" t="str">
        <f t="shared" si="43"/>
        <v/>
      </c>
      <c r="M86" s="59">
        <f t="shared" si="40"/>
        <v>0</v>
      </c>
      <c r="N86" s="58" t="str">
        <f t="shared" si="44"/>
        <v/>
      </c>
      <c r="O86" s="89">
        <f t="shared" si="45"/>
        <v>0</v>
      </c>
      <c r="Q86" s="79"/>
    </row>
    <row r="87" spans="1:39" x14ac:dyDescent="0.25">
      <c r="A87" s="79"/>
      <c r="B87" s="84" t="s">
        <v>290</v>
      </c>
      <c r="E87" s="79">
        <f t="shared" si="30"/>
        <v>81</v>
      </c>
      <c r="G87" s="59">
        <f t="shared" si="37"/>
        <v>0</v>
      </c>
      <c r="H87" s="58" t="str">
        <f t="shared" si="41"/>
        <v/>
      </c>
      <c r="I87" s="59">
        <f t="shared" si="38"/>
        <v>0</v>
      </c>
      <c r="J87" s="58" t="str">
        <f t="shared" si="42"/>
        <v/>
      </c>
      <c r="K87" s="59">
        <f t="shared" si="39"/>
        <v>0</v>
      </c>
      <c r="L87" s="58" t="str">
        <f t="shared" si="43"/>
        <v/>
      </c>
      <c r="M87" s="59">
        <f t="shared" si="40"/>
        <v>0</v>
      </c>
      <c r="N87" s="58" t="str">
        <f t="shared" si="44"/>
        <v/>
      </c>
      <c r="O87" s="89">
        <f t="shared" si="45"/>
        <v>0</v>
      </c>
      <c r="Q87" s="79"/>
    </row>
    <row r="88" spans="1:39" x14ac:dyDescent="0.25">
      <c r="A88" s="79"/>
      <c r="B88" s="84" t="s">
        <v>122</v>
      </c>
      <c r="E88" s="79">
        <f t="shared" si="30"/>
        <v>82</v>
      </c>
      <c r="G88" s="59">
        <f t="shared" si="37"/>
        <v>0</v>
      </c>
      <c r="H88" s="58" t="str">
        <f t="shared" si="41"/>
        <v/>
      </c>
      <c r="I88" s="59">
        <f t="shared" si="38"/>
        <v>-1500</v>
      </c>
      <c r="J88" s="58" t="str">
        <f t="shared" si="42"/>
        <v/>
      </c>
      <c r="K88" s="59">
        <f t="shared" si="39"/>
        <v>-1375</v>
      </c>
      <c r="L88" s="58" t="str">
        <f t="shared" si="43"/>
        <v/>
      </c>
      <c r="M88" s="59">
        <f t="shared" si="40"/>
        <v>-125</v>
      </c>
      <c r="N88" s="58" t="str">
        <f t="shared" si="44"/>
        <v/>
      </c>
      <c r="O88" s="89">
        <f t="shared" si="45"/>
        <v>0</v>
      </c>
      <c r="Q88" s="79"/>
    </row>
    <row r="89" spans="1:39" x14ac:dyDescent="0.25">
      <c r="A89" s="79"/>
      <c r="B89" s="84" t="s">
        <v>97</v>
      </c>
      <c r="E89" s="79">
        <f t="shared" si="30"/>
        <v>83</v>
      </c>
      <c r="G89" s="59">
        <f t="shared" si="37"/>
        <v>0</v>
      </c>
      <c r="H89" s="58" t="str">
        <f t="shared" si="41"/>
        <v/>
      </c>
      <c r="I89" s="59">
        <f t="shared" si="38"/>
        <v>-5687.25</v>
      </c>
      <c r="J89" s="58" t="str">
        <f t="shared" si="42"/>
        <v/>
      </c>
      <c r="K89" s="59">
        <f t="shared" si="39"/>
        <v>-5262.99</v>
      </c>
      <c r="L89" s="58" t="str">
        <f t="shared" si="43"/>
        <v/>
      </c>
      <c r="M89" s="59">
        <f t="shared" si="40"/>
        <v>-424.26</v>
      </c>
      <c r="N89" s="58" t="str">
        <f t="shared" si="44"/>
        <v/>
      </c>
      <c r="O89" s="89">
        <f t="shared" si="45"/>
        <v>0</v>
      </c>
      <c r="Q89" s="79"/>
    </row>
    <row r="90" spans="1:39" x14ac:dyDescent="0.25">
      <c r="A90" s="79"/>
      <c r="B90" s="84" t="s">
        <v>96</v>
      </c>
      <c r="E90" s="79">
        <f t="shared" si="30"/>
        <v>84</v>
      </c>
      <c r="G90" s="59">
        <f t="shared" si="37"/>
        <v>0</v>
      </c>
      <c r="H90" s="58" t="str">
        <f t="shared" si="41"/>
        <v/>
      </c>
      <c r="I90" s="59">
        <f t="shared" si="38"/>
        <v>-11470.46</v>
      </c>
      <c r="J90" s="58" t="str">
        <f t="shared" si="42"/>
        <v/>
      </c>
      <c r="K90" s="59">
        <f t="shared" si="39"/>
        <v>-10243.02</v>
      </c>
      <c r="L90" s="58" t="str">
        <f t="shared" si="43"/>
        <v/>
      </c>
      <c r="M90" s="59">
        <f t="shared" si="40"/>
        <v>-1227.44</v>
      </c>
      <c r="N90" s="58" t="str">
        <f t="shared" si="44"/>
        <v/>
      </c>
      <c r="O90" s="89">
        <f t="shared" si="45"/>
        <v>0</v>
      </c>
      <c r="Q90" s="79"/>
    </row>
    <row r="91" spans="1:39" x14ac:dyDescent="0.25">
      <c r="A91" s="79"/>
      <c r="B91" s="84" t="s">
        <v>95</v>
      </c>
      <c r="C91" s="79"/>
      <c r="D91" s="79"/>
      <c r="E91" s="79">
        <f t="shared" si="30"/>
        <v>85</v>
      </c>
      <c r="F91" s="79"/>
      <c r="G91" s="59">
        <f t="shared" si="37"/>
        <v>0</v>
      </c>
      <c r="H91" s="58" t="str">
        <f t="shared" si="41"/>
        <v/>
      </c>
      <c r="I91" s="59">
        <f t="shared" si="38"/>
        <v>-973.54</v>
      </c>
      <c r="J91" s="58" t="str">
        <f t="shared" si="42"/>
        <v/>
      </c>
      <c r="K91" s="59">
        <f t="shared" si="39"/>
        <v>-894.44</v>
      </c>
      <c r="L91" s="58" t="str">
        <f t="shared" si="43"/>
        <v/>
      </c>
      <c r="M91" s="59">
        <f t="shared" si="40"/>
        <v>-79.099999999999994</v>
      </c>
      <c r="N91" s="58" t="str">
        <f t="shared" si="44"/>
        <v/>
      </c>
      <c r="O91" s="89">
        <f t="shared" si="45"/>
        <v>0</v>
      </c>
      <c r="Q91" s="79"/>
    </row>
    <row r="92" spans="1:39" x14ac:dyDescent="0.25">
      <c r="A92" s="79"/>
      <c r="B92" s="84" t="s">
        <v>121</v>
      </c>
      <c r="C92" s="79"/>
      <c r="D92" s="79"/>
      <c r="E92" s="79">
        <f t="shared" si="30"/>
        <v>86</v>
      </c>
      <c r="F92" s="79"/>
      <c r="G92" s="59">
        <f t="shared" si="37"/>
        <v>0</v>
      </c>
      <c r="H92" s="58" t="str">
        <f t="shared" si="41"/>
        <v/>
      </c>
      <c r="I92" s="59">
        <f t="shared" si="38"/>
        <v>-24240</v>
      </c>
      <c r="J92" s="58" t="str">
        <f t="shared" si="42"/>
        <v/>
      </c>
      <c r="K92" s="59">
        <f t="shared" si="39"/>
        <v>-22220</v>
      </c>
      <c r="L92" s="58" t="str">
        <f t="shared" si="43"/>
        <v/>
      </c>
      <c r="M92" s="59">
        <f t="shared" si="40"/>
        <v>-2020</v>
      </c>
      <c r="N92" s="58" t="str">
        <f t="shared" si="44"/>
        <v/>
      </c>
      <c r="O92" s="89">
        <f t="shared" si="45"/>
        <v>0</v>
      </c>
      <c r="Q92" s="79"/>
    </row>
    <row r="93" spans="1:39" x14ac:dyDescent="0.25">
      <c r="A93" s="79"/>
      <c r="B93" s="84" t="s">
        <v>94</v>
      </c>
      <c r="C93" s="79"/>
      <c r="D93" s="79"/>
      <c r="E93" s="79">
        <f t="shared" si="30"/>
        <v>87</v>
      </c>
      <c r="F93" s="79"/>
      <c r="G93" s="59">
        <f t="shared" si="37"/>
        <v>0</v>
      </c>
      <c r="H93" s="58" t="str">
        <f t="shared" si="41"/>
        <v/>
      </c>
      <c r="I93" s="59">
        <f t="shared" si="38"/>
        <v>-1988.96</v>
      </c>
      <c r="J93" s="58" t="str">
        <f t="shared" si="42"/>
        <v/>
      </c>
      <c r="K93" s="59">
        <f t="shared" si="39"/>
        <v>-1547.4</v>
      </c>
      <c r="L93" s="58" t="str">
        <f t="shared" si="43"/>
        <v/>
      </c>
      <c r="M93" s="59">
        <f t="shared" si="40"/>
        <v>-441.56</v>
      </c>
      <c r="N93" s="58" t="str">
        <f t="shared" si="44"/>
        <v/>
      </c>
      <c r="O93" s="89">
        <f t="shared" si="45"/>
        <v>0</v>
      </c>
      <c r="Q93" s="79"/>
    </row>
    <row r="94" spans="1:39" x14ac:dyDescent="0.25">
      <c r="A94" s="79"/>
      <c r="B94" s="84" t="s">
        <v>93</v>
      </c>
      <c r="C94" s="79"/>
      <c r="D94" s="79"/>
      <c r="E94" s="79">
        <f t="shared" si="30"/>
        <v>88</v>
      </c>
      <c r="F94" s="79"/>
      <c r="G94" s="59">
        <f t="shared" si="37"/>
        <v>0</v>
      </c>
      <c r="H94" s="58" t="str">
        <f t="shared" si="41"/>
        <v/>
      </c>
      <c r="I94" s="59">
        <f t="shared" si="38"/>
        <v>-108527.26</v>
      </c>
      <c r="J94" s="58" t="str">
        <f t="shared" si="42"/>
        <v/>
      </c>
      <c r="K94" s="59">
        <f t="shared" si="39"/>
        <v>-99745.57</v>
      </c>
      <c r="L94" s="58" t="str">
        <f t="shared" si="43"/>
        <v/>
      </c>
      <c r="M94" s="59">
        <f t="shared" si="40"/>
        <v>-8781.69</v>
      </c>
      <c r="N94" s="58" t="str">
        <f t="shared" si="44"/>
        <v/>
      </c>
      <c r="O94" s="89">
        <f t="shared" si="45"/>
        <v>0</v>
      </c>
      <c r="Q94" s="79"/>
    </row>
    <row r="95" spans="1:39" x14ac:dyDescent="0.25">
      <c r="A95" s="79"/>
      <c r="B95" s="84" t="s">
        <v>92</v>
      </c>
      <c r="C95" s="79"/>
      <c r="D95" s="79"/>
      <c r="E95" s="79">
        <f t="shared" si="30"/>
        <v>89</v>
      </c>
      <c r="F95" s="79"/>
      <c r="G95" s="59">
        <f t="shared" si="37"/>
        <v>0</v>
      </c>
      <c r="H95" s="58" t="str">
        <f t="shared" si="41"/>
        <v/>
      </c>
      <c r="I95" s="59">
        <f t="shared" si="38"/>
        <v>-39100</v>
      </c>
      <c r="J95" s="58" t="str">
        <f t="shared" si="42"/>
        <v/>
      </c>
      <c r="K95" s="59">
        <f t="shared" si="39"/>
        <v>-35800</v>
      </c>
      <c r="L95" s="58" t="str">
        <f t="shared" si="43"/>
        <v/>
      </c>
      <c r="M95" s="59">
        <f t="shared" si="40"/>
        <v>-3300</v>
      </c>
      <c r="N95" s="58" t="str">
        <f t="shared" si="44"/>
        <v/>
      </c>
      <c r="O95" s="89">
        <f t="shared" si="45"/>
        <v>0</v>
      </c>
      <c r="Q95" s="79"/>
    </row>
    <row r="96" spans="1:39" x14ac:dyDescent="0.25">
      <c r="A96" s="79"/>
      <c r="B96" s="84" t="s">
        <v>91</v>
      </c>
      <c r="C96" s="79"/>
      <c r="D96" s="79"/>
      <c r="E96" s="79">
        <f t="shared" si="30"/>
        <v>90</v>
      </c>
      <c r="F96" s="79"/>
      <c r="G96" s="59">
        <f t="shared" si="37"/>
        <v>0</v>
      </c>
      <c r="H96" s="58" t="str">
        <f t="shared" si="41"/>
        <v/>
      </c>
      <c r="I96" s="59">
        <f t="shared" si="38"/>
        <v>-2769.57</v>
      </c>
      <c r="J96" s="58" t="str">
        <f t="shared" si="42"/>
        <v/>
      </c>
      <c r="K96" s="59">
        <f t="shared" si="39"/>
        <v>-2769.57</v>
      </c>
      <c r="L96" s="58" t="str">
        <f t="shared" si="43"/>
        <v/>
      </c>
      <c r="M96" s="59">
        <f t="shared" si="40"/>
        <v>0</v>
      </c>
      <c r="N96" s="58" t="str">
        <f t="shared" si="44"/>
        <v/>
      </c>
      <c r="O96" s="89">
        <f t="shared" si="45"/>
        <v>0</v>
      </c>
      <c r="Q96" s="79"/>
    </row>
    <row r="97" spans="1:17" x14ac:dyDescent="0.25">
      <c r="A97" s="79"/>
      <c r="B97" s="84" t="s">
        <v>90</v>
      </c>
      <c r="D97" s="79"/>
      <c r="E97" s="79">
        <f t="shared" si="30"/>
        <v>91</v>
      </c>
      <c r="F97" s="79"/>
      <c r="G97" s="59">
        <f t="shared" si="37"/>
        <v>0</v>
      </c>
      <c r="H97" s="58" t="str">
        <f t="shared" si="41"/>
        <v/>
      </c>
      <c r="I97" s="59">
        <f t="shared" si="38"/>
        <v>-8666.5400000000009</v>
      </c>
      <c r="J97" s="58" t="str">
        <f t="shared" si="42"/>
        <v/>
      </c>
      <c r="K97" s="59">
        <f t="shared" si="39"/>
        <v>-7966.54</v>
      </c>
      <c r="L97" s="58" t="str">
        <f t="shared" si="43"/>
        <v/>
      </c>
      <c r="M97" s="59">
        <f t="shared" si="40"/>
        <v>-700</v>
      </c>
      <c r="N97" s="58" t="str">
        <f t="shared" si="44"/>
        <v/>
      </c>
      <c r="O97" s="89">
        <f t="shared" si="45"/>
        <v>9.0949470177292824E-13</v>
      </c>
      <c r="Q97" s="79"/>
    </row>
    <row r="98" spans="1:17" x14ac:dyDescent="0.25">
      <c r="A98" s="79"/>
      <c r="B98" s="84" t="s">
        <v>89</v>
      </c>
      <c r="D98" s="79"/>
      <c r="E98" s="79">
        <f t="shared" si="30"/>
        <v>92</v>
      </c>
      <c r="F98" s="79"/>
      <c r="G98" s="59">
        <f t="shared" si="37"/>
        <v>1.1368683772161603E-13</v>
      </c>
      <c r="H98" s="58" t="str">
        <f t="shared" si="41"/>
        <v/>
      </c>
      <c r="I98" s="59">
        <f t="shared" si="38"/>
        <v>-7055.5</v>
      </c>
      <c r="J98" s="58" t="str">
        <f t="shared" si="42"/>
        <v/>
      </c>
      <c r="K98" s="59">
        <f t="shared" si="39"/>
        <v>-6869.37</v>
      </c>
      <c r="L98" s="58" t="str">
        <f t="shared" si="43"/>
        <v/>
      </c>
      <c r="M98" s="59">
        <f t="shared" si="40"/>
        <v>-186.13</v>
      </c>
      <c r="N98" s="58" t="str">
        <f t="shared" si="44"/>
        <v/>
      </c>
      <c r="O98" s="89">
        <f t="shared" si="45"/>
        <v>0</v>
      </c>
    </row>
    <row r="99" spans="1:17" x14ac:dyDescent="0.25">
      <c r="A99" s="79"/>
      <c r="B99" s="84" t="s">
        <v>120</v>
      </c>
      <c r="E99" s="79">
        <f t="shared" si="30"/>
        <v>93</v>
      </c>
      <c r="G99" s="59">
        <f t="shared" si="37"/>
        <v>0</v>
      </c>
      <c r="H99" s="58" t="str">
        <f t="shared" si="41"/>
        <v/>
      </c>
      <c r="I99" s="59">
        <f t="shared" si="38"/>
        <v>-1385</v>
      </c>
      <c r="J99" s="58" t="str">
        <f t="shared" si="42"/>
        <v/>
      </c>
      <c r="K99" s="59">
        <f t="shared" si="39"/>
        <v>-1235</v>
      </c>
      <c r="L99" s="58" t="str">
        <f t="shared" si="43"/>
        <v/>
      </c>
      <c r="M99" s="59">
        <f t="shared" si="40"/>
        <v>-150</v>
      </c>
      <c r="N99" s="58" t="str">
        <f t="shared" si="44"/>
        <v/>
      </c>
      <c r="O99" s="89">
        <f t="shared" ref="O99:O102" si="46">M99-(I99-K99)</f>
        <v>0</v>
      </c>
    </row>
    <row r="100" spans="1:17" x14ac:dyDescent="0.25">
      <c r="A100" s="79"/>
      <c r="B100" s="84" t="s">
        <v>88</v>
      </c>
      <c r="E100" s="79">
        <f t="shared" si="30"/>
        <v>94</v>
      </c>
      <c r="G100" s="59">
        <f t="shared" si="37"/>
        <v>0</v>
      </c>
      <c r="H100" s="58" t="str">
        <f t="shared" si="41"/>
        <v/>
      </c>
      <c r="I100" s="59">
        <f t="shared" si="38"/>
        <v>-2428.98</v>
      </c>
      <c r="J100" s="58" t="str">
        <f t="shared" si="42"/>
        <v/>
      </c>
      <c r="K100" s="59">
        <f t="shared" si="39"/>
        <v>-1506.38</v>
      </c>
      <c r="L100" s="58" t="str">
        <f t="shared" si="43"/>
        <v/>
      </c>
      <c r="M100" s="59">
        <f t="shared" si="40"/>
        <v>-922.6</v>
      </c>
      <c r="N100" s="58" t="str">
        <f t="shared" si="44"/>
        <v/>
      </c>
      <c r="O100" s="89">
        <f t="shared" si="46"/>
        <v>0</v>
      </c>
    </row>
    <row r="101" spans="1:17" x14ac:dyDescent="0.25">
      <c r="A101" s="79"/>
      <c r="B101" s="84" t="s">
        <v>87</v>
      </c>
      <c r="E101" s="79">
        <f t="shared" si="30"/>
        <v>95</v>
      </c>
      <c r="G101" s="59">
        <f t="shared" si="37"/>
        <v>0</v>
      </c>
      <c r="H101" s="58" t="str">
        <f t="shared" si="41"/>
        <v/>
      </c>
      <c r="I101" s="59">
        <f t="shared" si="38"/>
        <v>-6667.89</v>
      </c>
      <c r="J101" s="58" t="str">
        <f t="shared" si="42"/>
        <v/>
      </c>
      <c r="K101" s="59">
        <f t="shared" si="39"/>
        <v>-6157.89</v>
      </c>
      <c r="L101" s="58" t="str">
        <f t="shared" si="43"/>
        <v/>
      </c>
      <c r="M101" s="59">
        <f t="shared" si="40"/>
        <v>-510</v>
      </c>
      <c r="N101" s="58" t="str">
        <f t="shared" si="44"/>
        <v/>
      </c>
      <c r="O101" s="89">
        <f t="shared" si="46"/>
        <v>0</v>
      </c>
    </row>
    <row r="102" spans="1:17" x14ac:dyDescent="0.25">
      <c r="B102" s="84" t="s">
        <v>236</v>
      </c>
      <c r="C102" s="79"/>
      <c r="E102" s="79">
        <f t="shared" si="30"/>
        <v>96</v>
      </c>
      <c r="G102" s="59">
        <f t="shared" si="37"/>
        <v>1.2807532812075806E-11</v>
      </c>
      <c r="H102" s="58" t="str">
        <f t="shared" si="41"/>
        <v/>
      </c>
      <c r="I102" s="59">
        <f t="shared" si="38"/>
        <v>0</v>
      </c>
      <c r="J102" s="58" t="str">
        <f t="shared" si="42"/>
        <v/>
      </c>
      <c r="K102" s="59">
        <f t="shared" si="39"/>
        <v>0</v>
      </c>
      <c r="L102" s="58" t="str">
        <f t="shared" si="43"/>
        <v/>
      </c>
      <c r="M102" s="59">
        <f t="shared" si="40"/>
        <v>0</v>
      </c>
      <c r="N102" s="58" t="str">
        <f t="shared" si="44"/>
        <v/>
      </c>
      <c r="O102" s="89">
        <f t="shared" si="46"/>
        <v>0</v>
      </c>
    </row>
    <row r="103" spans="1:17" x14ac:dyDescent="0.25">
      <c r="B103" s="84" t="s">
        <v>86</v>
      </c>
      <c r="C103" s="79"/>
      <c r="E103" s="79">
        <f t="shared" ref="E103" si="47">MATCH(B103,INDEX(SageTrialBalance,,1),0)</f>
        <v>97</v>
      </c>
      <c r="F103" s="79"/>
      <c r="G103" s="59">
        <f t="shared" si="37"/>
        <v>0</v>
      </c>
      <c r="H103" s="58" t="str">
        <f t="shared" ref="H103" si="48">IF($C103,IF(G103&lt;&gt;0,"#Err#","ok"),"")</f>
        <v/>
      </c>
      <c r="I103" s="59">
        <f t="shared" si="38"/>
        <v>0</v>
      </c>
      <c r="J103" s="58" t="str">
        <f t="shared" ref="J103" si="49">IF($C103,IF(I103&lt;&gt;0,"#Err#","ok"),"")</f>
        <v/>
      </c>
      <c r="K103" s="59">
        <f t="shared" si="39"/>
        <v>0</v>
      </c>
      <c r="L103" s="58" t="str">
        <f t="shared" ref="L103" si="50">IF($C103,IF(K103&lt;&gt;0,"#Err#","ok"),"")</f>
        <v/>
      </c>
      <c r="M103" s="59">
        <f t="shared" si="40"/>
        <v>0</v>
      </c>
      <c r="N103" s="58" t="str">
        <f t="shared" ref="N103" si="51">IF($C103,IF(M103&lt;&gt;0,"#Err#","ok"),"")</f>
        <v/>
      </c>
      <c r="O103" s="89">
        <f t="shared" ref="O103" si="52">M103-(I103-K103)</f>
        <v>0</v>
      </c>
    </row>
  </sheetData>
  <conditionalFormatting sqref="G7 O8 O10:O14 O16 O18:O19 O21:O48 O50:O76 O78:O98">
    <cfRule type="cellIs" dxfId="129" priority="129" operator="notBetween">
      <formula>-0.005</formula>
      <formula>0.005</formula>
    </cfRule>
    <cfRule type="cellIs" dxfId="128" priority="130" operator="between">
      <formula>-0.005</formula>
      <formula>0.005</formula>
    </cfRule>
  </conditionalFormatting>
  <conditionalFormatting sqref="H8 J8 L8 N8 N10:N14 L10:L14 J10:J14 H10:H14 H16 J16 L16 N16 N18:N19 L18:L19 J18:J19 H18:H19 H21:H48 J21:J48 L21:L48 N21:N48 N50:N76 L50:L76 J50:J76 H50:H76 H78:H102 J78:J102 L78:L102 N78:N102">
    <cfRule type="cellIs" dxfId="127" priority="131" stopIfTrue="1" operator="equal">
      <formula>"ok"</formula>
    </cfRule>
    <cfRule type="cellIs" dxfId="126" priority="132" stopIfTrue="1" operator="equal">
      <formula>"#Err#"</formula>
    </cfRule>
    <cfRule type="cellIs" dxfId="125" priority="133" stopIfTrue="1" operator="equal">
      <formula>""</formula>
    </cfRule>
    <cfRule type="cellIs" dxfId="124" priority="134" operator="notEqual">
      <formula>""""""</formula>
    </cfRule>
  </conditionalFormatting>
  <conditionalFormatting sqref="T7">
    <cfRule type="cellIs" dxfId="123" priority="127" operator="notBetween">
      <formula>-0.005</formula>
      <formula>0.005</formula>
    </cfRule>
    <cfRule type="cellIs" dxfId="122" priority="128" operator="between">
      <formula>-0.005</formula>
      <formula>0.005</formula>
    </cfRule>
  </conditionalFormatting>
  <conditionalFormatting sqref="Q8:Q68">
    <cfRule type="cellIs" dxfId="121" priority="125" operator="notBetween">
      <formula>-0.005</formula>
      <formula>0.005</formula>
    </cfRule>
    <cfRule type="cellIs" dxfId="120" priority="126" operator="between">
      <formula>-0.005</formula>
      <formula>0.005</formula>
    </cfRule>
  </conditionalFormatting>
  <conditionalFormatting sqref="Z7">
    <cfRule type="cellIs" dxfId="119" priority="85" operator="notBetween">
      <formula>-0.005</formula>
      <formula>0.005</formula>
    </cfRule>
    <cfRule type="cellIs" dxfId="118" priority="86" operator="between">
      <formula>-0.005</formula>
      <formula>0.005</formula>
    </cfRule>
  </conditionalFormatting>
  <conditionalFormatting sqref="X7">
    <cfRule type="cellIs" dxfId="117" priority="87" operator="notBetween">
      <formula>-0.005</formula>
      <formula>0.005</formula>
    </cfRule>
    <cfRule type="cellIs" dxfId="116" priority="88" operator="between">
      <formula>-0.005</formula>
      <formula>0.005</formula>
    </cfRule>
  </conditionalFormatting>
  <conditionalFormatting sqref="V7">
    <cfRule type="cellIs" dxfId="115" priority="91" operator="notBetween">
      <formula>-0.005</formula>
      <formula>0.005</formula>
    </cfRule>
    <cfRule type="cellIs" dxfId="114" priority="92" operator="between">
      <formula>-0.005</formula>
      <formula>0.005</formula>
    </cfRule>
  </conditionalFormatting>
  <conditionalFormatting sqref="AL27">
    <cfRule type="cellIs" dxfId="113" priority="79" operator="notBetween">
      <formula>-0.005</formula>
      <formula>0.005</formula>
    </cfRule>
    <cfRule type="cellIs" dxfId="112" priority="80" operator="between">
      <formula>-0.005</formula>
      <formula>0.005</formula>
    </cfRule>
  </conditionalFormatting>
  <conditionalFormatting sqref="AH8:AH67">
    <cfRule type="containsBlanks" dxfId="111" priority="75">
      <formula>LEN(TRIM(AH8))=0</formula>
    </cfRule>
    <cfRule type="cellIs" dxfId="110" priority="76" operator="equal">
      <formula>"ok"</formula>
    </cfRule>
    <cfRule type="cellIs" dxfId="109" priority="77" operator="equal">
      <formula>"+ve"</formula>
    </cfRule>
    <cfRule type="cellIs" dxfId="108" priority="78" operator="equal">
      <formula>"-ve"</formula>
    </cfRule>
  </conditionalFormatting>
  <conditionalFormatting sqref="AH68">
    <cfRule type="containsBlanks" dxfId="107" priority="71">
      <formula>LEN(TRIM(AH68))=0</formula>
    </cfRule>
    <cfRule type="cellIs" dxfId="106" priority="72" operator="equal">
      <formula>"ok"</formula>
    </cfRule>
    <cfRule type="cellIs" dxfId="105" priority="73" operator="equal">
      <formula>"+ve"</formula>
    </cfRule>
    <cfRule type="cellIs" dxfId="104" priority="74" operator="equal">
      <formula>"-ve"</formula>
    </cfRule>
  </conditionalFormatting>
  <conditionalFormatting sqref="AB7">
    <cfRule type="cellIs" dxfId="103" priority="69" operator="notBetween">
      <formula>-0.005</formula>
      <formula>0.005</formula>
    </cfRule>
    <cfRule type="cellIs" dxfId="102" priority="70" operator="between">
      <formula>-0.005</formula>
      <formula>0.005</formula>
    </cfRule>
  </conditionalFormatting>
  <conditionalFormatting sqref="AD7">
    <cfRule type="cellIs" dxfId="101" priority="67" operator="notBetween">
      <formula>-0.005</formula>
      <formula>0.005</formula>
    </cfRule>
    <cfRule type="cellIs" dxfId="100" priority="68" operator="between">
      <formula>-0.005</formula>
      <formula>0.005</formula>
    </cfRule>
  </conditionalFormatting>
  <conditionalFormatting sqref="O99:O102">
    <cfRule type="cellIs" dxfId="99" priority="49" operator="notBetween">
      <formula>-0.005</formula>
      <formula>0.005</formula>
    </cfRule>
    <cfRule type="cellIs" dxfId="98" priority="50" operator="between">
      <formula>-0.005</formula>
      <formula>0.005</formula>
    </cfRule>
  </conditionalFormatting>
  <conditionalFormatting sqref="O9">
    <cfRule type="cellIs" dxfId="97" priority="43" operator="notBetween">
      <formula>-0.005</formula>
      <formula>0.005</formula>
    </cfRule>
    <cfRule type="cellIs" dxfId="96" priority="44" operator="between">
      <formula>-0.005</formula>
      <formula>0.005</formula>
    </cfRule>
  </conditionalFormatting>
  <conditionalFormatting sqref="H9 J9 L9 N9">
    <cfRule type="cellIs" dxfId="95" priority="45" stopIfTrue="1" operator="equal">
      <formula>"ok"</formula>
    </cfRule>
    <cfRule type="cellIs" dxfId="94" priority="46" stopIfTrue="1" operator="equal">
      <formula>"#Err#"</formula>
    </cfRule>
    <cfRule type="cellIs" dxfId="93" priority="47" stopIfTrue="1" operator="equal">
      <formula>""</formula>
    </cfRule>
    <cfRule type="cellIs" dxfId="92" priority="48" operator="notEqual">
      <formula>""""""</formula>
    </cfRule>
  </conditionalFormatting>
  <conditionalFormatting sqref="O15">
    <cfRule type="cellIs" dxfId="91" priority="37" operator="notBetween">
      <formula>-0.005</formula>
      <formula>0.005</formula>
    </cfRule>
    <cfRule type="cellIs" dxfId="90" priority="38" operator="between">
      <formula>-0.005</formula>
      <formula>0.005</formula>
    </cfRule>
  </conditionalFormatting>
  <conditionalFormatting sqref="N15 L15 J15 H15">
    <cfRule type="cellIs" dxfId="89" priority="39" stopIfTrue="1" operator="equal">
      <formula>"ok"</formula>
    </cfRule>
    <cfRule type="cellIs" dxfId="88" priority="40" stopIfTrue="1" operator="equal">
      <formula>"#Err#"</formula>
    </cfRule>
    <cfRule type="cellIs" dxfId="87" priority="41" stopIfTrue="1" operator="equal">
      <formula>""</formula>
    </cfRule>
    <cfRule type="cellIs" dxfId="86" priority="42" operator="notEqual">
      <formula>""""""</formula>
    </cfRule>
  </conditionalFormatting>
  <conditionalFormatting sqref="O17">
    <cfRule type="cellIs" dxfId="85" priority="31" operator="notBetween">
      <formula>-0.005</formula>
      <formula>0.005</formula>
    </cfRule>
    <cfRule type="cellIs" dxfId="84" priority="32" operator="between">
      <formula>-0.005</formula>
      <formula>0.005</formula>
    </cfRule>
  </conditionalFormatting>
  <conditionalFormatting sqref="H17 J17 L17 N17">
    <cfRule type="cellIs" dxfId="83" priority="33" stopIfTrue="1" operator="equal">
      <formula>"ok"</formula>
    </cfRule>
    <cfRule type="cellIs" dxfId="82" priority="34" stopIfTrue="1" operator="equal">
      <formula>"#Err#"</formula>
    </cfRule>
    <cfRule type="cellIs" dxfId="81" priority="35" stopIfTrue="1" operator="equal">
      <formula>""</formula>
    </cfRule>
    <cfRule type="cellIs" dxfId="80" priority="36" operator="notEqual">
      <formula>""""""</formula>
    </cfRule>
  </conditionalFormatting>
  <conditionalFormatting sqref="O20">
    <cfRule type="cellIs" dxfId="79" priority="25" operator="notBetween">
      <formula>-0.005</formula>
      <formula>0.005</formula>
    </cfRule>
    <cfRule type="cellIs" dxfId="78" priority="26" operator="between">
      <formula>-0.005</formula>
      <formula>0.005</formula>
    </cfRule>
  </conditionalFormatting>
  <conditionalFormatting sqref="N20 L20 J20 H20">
    <cfRule type="cellIs" dxfId="77" priority="27" stopIfTrue="1" operator="equal">
      <formula>"ok"</formula>
    </cfRule>
    <cfRule type="cellIs" dxfId="76" priority="28" stopIfTrue="1" operator="equal">
      <formula>"#Err#"</formula>
    </cfRule>
    <cfRule type="cellIs" dxfId="75" priority="29" stopIfTrue="1" operator="equal">
      <formula>""</formula>
    </cfRule>
    <cfRule type="cellIs" dxfId="74" priority="30" operator="notEqual">
      <formula>""""""</formula>
    </cfRule>
  </conditionalFormatting>
  <conditionalFormatting sqref="I7">
    <cfRule type="cellIs" dxfId="73" priority="23" operator="notBetween">
      <formula>-0.005</formula>
      <formula>0.005</formula>
    </cfRule>
    <cfRule type="cellIs" dxfId="72" priority="24" operator="between">
      <formula>-0.005</formula>
      <formula>0.005</formula>
    </cfRule>
  </conditionalFormatting>
  <conditionalFormatting sqref="K7">
    <cfRule type="cellIs" dxfId="71" priority="21" operator="notBetween">
      <formula>-0.005</formula>
      <formula>0.005</formula>
    </cfRule>
    <cfRule type="cellIs" dxfId="70" priority="22" operator="between">
      <formula>-0.005</formula>
      <formula>0.005</formula>
    </cfRule>
  </conditionalFormatting>
  <conditionalFormatting sqref="M7">
    <cfRule type="cellIs" dxfId="69" priority="19" operator="notBetween">
      <formula>-0.005</formula>
      <formula>0.005</formula>
    </cfRule>
    <cfRule type="cellIs" dxfId="68" priority="20" operator="between">
      <formula>-0.005</formula>
      <formula>0.005</formula>
    </cfRule>
  </conditionalFormatting>
  <conditionalFormatting sqref="O49">
    <cfRule type="cellIs" dxfId="67" priority="13" operator="notBetween">
      <formula>-0.005</formula>
      <formula>0.005</formula>
    </cfRule>
    <cfRule type="cellIs" dxfId="66" priority="14" operator="between">
      <formula>-0.005</formula>
      <formula>0.005</formula>
    </cfRule>
  </conditionalFormatting>
  <conditionalFormatting sqref="H49 J49 L49 N49">
    <cfRule type="cellIs" dxfId="65" priority="15" stopIfTrue="1" operator="equal">
      <formula>"ok"</formula>
    </cfRule>
    <cfRule type="cellIs" dxfId="64" priority="16" stopIfTrue="1" operator="equal">
      <formula>"#Err#"</formula>
    </cfRule>
    <cfRule type="cellIs" dxfId="63" priority="17" stopIfTrue="1" operator="equal">
      <formula>""</formula>
    </cfRule>
    <cfRule type="cellIs" dxfId="62" priority="18" operator="notEqual">
      <formula>""""""</formula>
    </cfRule>
  </conditionalFormatting>
  <conditionalFormatting sqref="N103 L103 J103 H103">
    <cfRule type="cellIs" dxfId="61" priority="9" stopIfTrue="1" operator="equal">
      <formula>"ok"</formula>
    </cfRule>
    <cfRule type="cellIs" dxfId="60" priority="10" stopIfTrue="1" operator="equal">
      <formula>"#Err#"</formula>
    </cfRule>
    <cfRule type="cellIs" dxfId="59" priority="11" stopIfTrue="1" operator="equal">
      <formula>""</formula>
    </cfRule>
    <cfRule type="cellIs" dxfId="58" priority="12" operator="notEqual">
      <formula>""""""</formula>
    </cfRule>
  </conditionalFormatting>
  <conditionalFormatting sqref="O103">
    <cfRule type="cellIs" dxfId="57" priority="7" operator="notBetween">
      <formula>-0.005</formula>
      <formula>0.005</formula>
    </cfRule>
    <cfRule type="cellIs" dxfId="56" priority="8" operator="between">
      <formula>-0.005</formula>
      <formula>0.005</formula>
    </cfRule>
  </conditionalFormatting>
  <conditionalFormatting sqref="O77">
    <cfRule type="cellIs" dxfId="55" priority="1" operator="notBetween">
      <formula>-0.005</formula>
      <formula>0.005</formula>
    </cfRule>
    <cfRule type="cellIs" dxfId="54" priority="2" operator="between">
      <formula>-0.005</formula>
      <formula>0.005</formula>
    </cfRule>
  </conditionalFormatting>
  <conditionalFormatting sqref="N77 L77 J77 H77">
    <cfRule type="cellIs" dxfId="53" priority="3" stopIfTrue="1" operator="equal">
      <formula>"ok"</formula>
    </cfRule>
    <cfRule type="cellIs" dxfId="52" priority="4" stopIfTrue="1" operator="equal">
      <formula>"#Err#"</formula>
    </cfRule>
    <cfRule type="cellIs" dxfId="51" priority="5" stopIfTrue="1" operator="equal">
      <formula>""</formula>
    </cfRule>
    <cfRule type="cellIs" dxfId="50" priority="6" operator="notEqual">
      <formula>""""""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47"/>
  <sheetViews>
    <sheetView topLeftCell="K1" workbookViewId="0">
      <pane xSplit="1" ySplit="7" topLeftCell="AQ8" activePane="bottomRight" state="frozen"/>
      <selection activeCell="K1" sqref="K1"/>
      <selection pane="topRight" activeCell="L1" sqref="L1"/>
      <selection pane="bottomLeft" activeCell="K8" sqref="K8"/>
      <selection pane="bottomRight" activeCell="AZ6" sqref="AZ6"/>
    </sheetView>
  </sheetViews>
  <sheetFormatPr defaultRowHeight="15" x14ac:dyDescent="0.25"/>
  <cols>
    <col min="1" max="3" width="9.140625" style="76"/>
    <col min="4" max="6" width="10.7109375" style="76" customWidth="1"/>
    <col min="7" max="7" width="10.7109375" customWidth="1"/>
    <col min="8" max="8" width="10.7109375" style="76" customWidth="1"/>
    <col min="9" max="9" width="10.7109375" customWidth="1"/>
    <col min="10" max="10" width="35.85546875" customWidth="1"/>
    <col min="12" max="25" width="10.7109375" customWidth="1"/>
    <col min="42" max="42" width="14" bestFit="1" customWidth="1"/>
    <col min="43" max="43" width="13.7109375" bestFit="1" customWidth="1"/>
  </cols>
  <sheetData>
    <row r="1" spans="1:55" ht="18.75" x14ac:dyDescent="0.3">
      <c r="K1" s="56" t="s">
        <v>85</v>
      </c>
    </row>
    <row r="2" spans="1:55" x14ac:dyDescent="0.25">
      <c r="K2" t="s">
        <v>142</v>
      </c>
    </row>
    <row r="3" spans="1:55" x14ac:dyDescent="0.25">
      <c r="D3" s="76" t="s">
        <v>208</v>
      </c>
      <c r="F3" s="76" t="s">
        <v>141</v>
      </c>
      <c r="G3" t="s">
        <v>208</v>
      </c>
      <c r="I3" t="s">
        <v>141</v>
      </c>
    </row>
    <row r="4" spans="1:55" x14ac:dyDescent="0.25">
      <c r="D4" s="76" t="s">
        <v>213</v>
      </c>
      <c r="F4" s="57" t="e">
        <f>PLTD_MTD</f>
        <v>#N/A</v>
      </c>
      <c r="G4" t="s">
        <v>212</v>
      </c>
      <c r="I4" s="57" t="e">
        <f>PLTD_YTD</f>
        <v>#N/A</v>
      </c>
      <c r="K4">
        <v>1</v>
      </c>
      <c r="L4">
        <v>2</v>
      </c>
      <c r="M4">
        <v>3</v>
      </c>
      <c r="N4" s="69">
        <v>4</v>
      </c>
      <c r="O4" s="69">
        <v>5</v>
      </c>
      <c r="P4" s="69">
        <v>6</v>
      </c>
      <c r="Q4" s="69">
        <v>7</v>
      </c>
      <c r="R4" s="69">
        <v>8</v>
      </c>
      <c r="S4" s="69">
        <v>9</v>
      </c>
      <c r="T4">
        <v>10</v>
      </c>
      <c r="U4">
        <v>11</v>
      </c>
      <c r="V4" s="79">
        <v>12</v>
      </c>
      <c r="W4" s="79">
        <v>13</v>
      </c>
      <c r="X4" s="79">
        <v>14</v>
      </c>
      <c r="Y4" s="79">
        <v>15</v>
      </c>
      <c r="Z4" s="79">
        <v>16</v>
      </c>
      <c r="AA4" s="79">
        <v>17</v>
      </c>
      <c r="AB4" s="79">
        <v>18</v>
      </c>
      <c r="AC4" s="79">
        <v>19</v>
      </c>
      <c r="AD4" s="79">
        <v>20</v>
      </c>
      <c r="AE4" s="79">
        <v>21</v>
      </c>
      <c r="AF4" s="79">
        <v>22</v>
      </c>
      <c r="AG4" s="79">
        <v>23</v>
      </c>
      <c r="AH4" s="79">
        <v>24</v>
      </c>
      <c r="AI4" s="79">
        <v>25</v>
      </c>
      <c r="AJ4" s="79">
        <v>26</v>
      </c>
      <c r="AK4" s="79">
        <v>27</v>
      </c>
      <c r="AL4" s="79">
        <v>28</v>
      </c>
      <c r="AM4" s="79">
        <v>29</v>
      </c>
      <c r="AN4" s="79">
        <v>30</v>
      </c>
      <c r="AO4" s="79">
        <v>31</v>
      </c>
      <c r="AP4" s="79">
        <v>32</v>
      </c>
      <c r="AQ4" s="79">
        <v>33</v>
      </c>
      <c r="AR4" s="79">
        <v>34</v>
      </c>
      <c r="AS4" s="79">
        <v>35</v>
      </c>
      <c r="AT4" s="79">
        <v>36</v>
      </c>
      <c r="AU4" s="79">
        <v>37</v>
      </c>
      <c r="AV4" s="79">
        <v>38</v>
      </c>
      <c r="AW4" s="79">
        <v>39</v>
      </c>
      <c r="AX4" s="79">
        <v>40</v>
      </c>
      <c r="AY4" s="79">
        <v>41</v>
      </c>
      <c r="AZ4" s="79">
        <v>42</v>
      </c>
      <c r="BA4" s="79">
        <v>43</v>
      </c>
      <c r="BB4" s="79">
        <v>44</v>
      </c>
      <c r="BC4" s="79">
        <v>45</v>
      </c>
    </row>
    <row r="5" spans="1:55" x14ac:dyDescent="0.25">
      <c r="D5" s="58" t="str">
        <f>RepMonth &amp; RepYear</f>
        <v>Jan16</v>
      </c>
      <c r="E5" s="58"/>
      <c r="F5" s="60" t="e">
        <f>INDEX(I5:AE5,0,F4)</f>
        <v>#N/A</v>
      </c>
      <c r="G5" s="58" t="str">
        <f>RepMonth&amp;RepYear</f>
        <v>Jan16</v>
      </c>
      <c r="H5" s="58"/>
      <c r="I5" s="60" t="e">
        <f>INDEX(K5:AE5,0,I4)</f>
        <v>#N/A</v>
      </c>
      <c r="K5" s="42"/>
      <c r="L5" s="45" t="s">
        <v>84</v>
      </c>
      <c r="M5" s="45" t="s">
        <v>1</v>
      </c>
      <c r="N5" s="45" t="s">
        <v>1</v>
      </c>
      <c r="O5" s="45" t="s">
        <v>1</v>
      </c>
      <c r="P5" s="45" t="s">
        <v>84</v>
      </c>
      <c r="Q5" s="45" t="s">
        <v>84</v>
      </c>
      <c r="R5" s="45" t="s">
        <v>84</v>
      </c>
      <c r="S5" s="45" t="s">
        <v>1</v>
      </c>
      <c r="T5" s="45" t="s">
        <v>84</v>
      </c>
      <c r="U5" s="45" t="s">
        <v>1</v>
      </c>
      <c r="V5" s="45" t="s">
        <v>84</v>
      </c>
      <c r="W5" s="45" t="s">
        <v>1</v>
      </c>
      <c r="X5" s="45" t="s">
        <v>84</v>
      </c>
      <c r="Y5" s="45" t="s">
        <v>1</v>
      </c>
      <c r="Z5" s="45" t="s">
        <v>84</v>
      </c>
      <c r="AA5" s="45" t="s">
        <v>1</v>
      </c>
      <c r="AB5" s="45" t="s">
        <v>84</v>
      </c>
      <c r="AC5" s="45" t="s">
        <v>1</v>
      </c>
      <c r="AD5" s="45" t="s">
        <v>84</v>
      </c>
      <c r="AE5" s="45" t="s">
        <v>1</v>
      </c>
      <c r="AF5" s="45" t="s">
        <v>84</v>
      </c>
      <c r="AG5" s="45" t="s">
        <v>1</v>
      </c>
      <c r="AH5" s="45" t="s">
        <v>84</v>
      </c>
      <c r="AI5" s="45" t="s">
        <v>1</v>
      </c>
      <c r="AJ5" s="45" t="s">
        <v>84</v>
      </c>
      <c r="AK5" s="45" t="s">
        <v>1</v>
      </c>
      <c r="AL5" s="45" t="s">
        <v>84</v>
      </c>
      <c r="AM5" s="45" t="s">
        <v>1</v>
      </c>
      <c r="AN5" s="45" t="s">
        <v>84</v>
      </c>
      <c r="AO5" s="45" t="s">
        <v>1</v>
      </c>
      <c r="AP5" s="45" t="s">
        <v>84</v>
      </c>
      <c r="AQ5" s="45" t="s">
        <v>1</v>
      </c>
      <c r="AR5" s="45" t="s">
        <v>84</v>
      </c>
      <c r="AS5" s="45" t="s">
        <v>1</v>
      </c>
      <c r="AT5" s="45" t="s">
        <v>84</v>
      </c>
      <c r="AU5" s="45" t="s">
        <v>1</v>
      </c>
      <c r="AV5" s="45" t="s">
        <v>84</v>
      </c>
      <c r="AW5" s="45" t="s">
        <v>1</v>
      </c>
      <c r="AX5" s="45" t="s">
        <v>84</v>
      </c>
      <c r="AY5" s="45" t="s">
        <v>1</v>
      </c>
      <c r="AZ5" s="45" t="s">
        <v>84</v>
      </c>
      <c r="BA5" s="45" t="s">
        <v>1</v>
      </c>
      <c r="BB5" s="45" t="s">
        <v>84</v>
      </c>
      <c r="BC5" s="45" t="s">
        <v>1</v>
      </c>
    </row>
    <row r="6" spans="1:55" x14ac:dyDescent="0.25">
      <c r="B6" s="76" t="s">
        <v>215</v>
      </c>
      <c r="D6" s="81" t="s">
        <v>216</v>
      </c>
      <c r="E6" s="81"/>
      <c r="G6" s="81" t="s">
        <v>217</v>
      </c>
      <c r="H6" s="81"/>
      <c r="K6" s="42" t="s">
        <v>81</v>
      </c>
      <c r="L6" s="46">
        <v>41548</v>
      </c>
      <c r="M6" s="46">
        <v>41548</v>
      </c>
      <c r="N6" s="46">
        <v>41883</v>
      </c>
      <c r="O6" s="46">
        <v>41518</v>
      </c>
      <c r="P6" s="46">
        <v>41518</v>
      </c>
      <c r="Q6" s="46">
        <v>41883</v>
      </c>
      <c r="R6" s="46">
        <v>41579</v>
      </c>
      <c r="S6" s="46">
        <v>41579</v>
      </c>
      <c r="T6" s="46">
        <v>41913</v>
      </c>
      <c r="U6" s="46">
        <v>41913</v>
      </c>
      <c r="V6" s="46">
        <v>41609</v>
      </c>
      <c r="W6" s="46">
        <v>41609</v>
      </c>
      <c r="X6" s="46">
        <v>41640</v>
      </c>
      <c r="Y6" s="46">
        <v>41640</v>
      </c>
      <c r="Z6" s="46">
        <v>41671</v>
      </c>
      <c r="AA6" s="46">
        <v>41671</v>
      </c>
      <c r="AB6" s="46">
        <v>41699</v>
      </c>
      <c r="AC6" s="46">
        <v>41699</v>
      </c>
      <c r="AD6" s="46">
        <v>41730</v>
      </c>
      <c r="AE6" s="46">
        <v>41730</v>
      </c>
      <c r="AF6" s="46">
        <v>41760</v>
      </c>
      <c r="AG6" s="46">
        <v>41760</v>
      </c>
      <c r="AH6" s="46">
        <v>41791</v>
      </c>
      <c r="AI6" s="46">
        <v>41791</v>
      </c>
      <c r="AJ6" s="46">
        <v>41821</v>
      </c>
      <c r="AK6" s="46">
        <v>41821</v>
      </c>
      <c r="AL6" s="46">
        <v>41852</v>
      </c>
      <c r="AM6" s="46">
        <v>41852</v>
      </c>
      <c r="AN6" s="46">
        <v>42186</v>
      </c>
      <c r="AO6" s="46">
        <v>42186</v>
      </c>
      <c r="AP6" s="46" t="s">
        <v>436</v>
      </c>
      <c r="AQ6" s="46" t="s">
        <v>436</v>
      </c>
      <c r="AR6" s="46" t="s">
        <v>439</v>
      </c>
      <c r="AS6" s="46" t="s">
        <v>439</v>
      </c>
      <c r="AT6" s="46" t="s">
        <v>444</v>
      </c>
      <c r="AU6" s="46" t="s">
        <v>444</v>
      </c>
      <c r="AV6" s="46" t="s">
        <v>448</v>
      </c>
      <c r="AW6" s="46" t="s">
        <v>448</v>
      </c>
      <c r="AX6" s="46" t="s">
        <v>452</v>
      </c>
      <c r="AY6" s="46" t="s">
        <v>452</v>
      </c>
      <c r="AZ6" s="46" t="s">
        <v>456</v>
      </c>
      <c r="BA6" s="46" t="s">
        <v>456</v>
      </c>
      <c r="BB6" s="46" t="s">
        <v>460</v>
      </c>
      <c r="BC6" s="46" t="s">
        <v>460</v>
      </c>
    </row>
    <row r="7" spans="1:55" x14ac:dyDescent="0.25">
      <c r="A7" s="76" t="s">
        <v>214</v>
      </c>
      <c r="B7" s="76" t="s">
        <v>81</v>
      </c>
      <c r="C7" s="76" t="s">
        <v>141</v>
      </c>
      <c r="D7" s="59"/>
      <c r="E7" s="60" t="e">
        <f>VLOOKUP(K7,MTD,$F$4,FALSE)</f>
        <v>#REF!</v>
      </c>
      <c r="G7" s="59"/>
      <c r="H7" s="60" t="e">
        <f>VLOOKUP(K7,MTD,$I$4,FALSE)</f>
        <v>#REF!</v>
      </c>
      <c r="K7" s="40">
        <v>1</v>
      </c>
      <c r="L7" s="47" t="str">
        <f>"PLTD-"&amp;L5&amp;"-"&amp;UPPER(TEXT(L6,"mmm-yy"))</f>
        <v>PLTD-MTD-OCT-13</v>
      </c>
      <c r="M7" s="47" t="str">
        <f t="shared" ref="M7:W7" si="0">"PLTD-"&amp;M5&amp;"-"&amp;UPPER(TEXT(M6,"mmm-yy"))</f>
        <v>PLTD-YTD-OCT-13</v>
      </c>
      <c r="N7" s="47" t="str">
        <f t="shared" si="0"/>
        <v>PLTD-YTD-SEP-14</v>
      </c>
      <c r="O7" s="47" t="str">
        <f t="shared" si="0"/>
        <v>PLTD-YTD-SEP-13</v>
      </c>
      <c r="P7" s="47" t="str">
        <f t="shared" si="0"/>
        <v>PLTD-MTD-SEP-13</v>
      </c>
      <c r="Q7" s="47" t="str">
        <f t="shared" si="0"/>
        <v>PLTD-MTD-SEP-14</v>
      </c>
      <c r="R7" s="47" t="str">
        <f t="shared" si="0"/>
        <v>PLTD-MTD-NOV-13</v>
      </c>
      <c r="S7" s="47" t="str">
        <f t="shared" si="0"/>
        <v>PLTD-YTD-NOV-13</v>
      </c>
      <c r="T7" s="47" t="str">
        <f t="shared" si="0"/>
        <v>PLTD-MTD-OCT-14</v>
      </c>
      <c r="U7" s="47" t="str">
        <f t="shared" si="0"/>
        <v>PLTD-YTD-OCT-14</v>
      </c>
      <c r="V7" s="47" t="str">
        <f t="shared" si="0"/>
        <v>PLTD-MTD-DEC-13</v>
      </c>
      <c r="W7" s="47" t="str">
        <f t="shared" si="0"/>
        <v>PLTD-YTD-DEC-13</v>
      </c>
      <c r="X7" s="47" t="str">
        <f t="shared" ref="X7:AA7" si="1">"PLTD-"&amp;X5&amp;"-"&amp;UPPER(TEXT(X6,"mmm-yy"))</f>
        <v>PLTD-MTD-JAN-14</v>
      </c>
      <c r="Y7" s="47" t="str">
        <f t="shared" si="1"/>
        <v>PLTD-YTD-JAN-14</v>
      </c>
      <c r="Z7" s="47" t="str">
        <f t="shared" si="1"/>
        <v>PLTD-MTD-FEB-14</v>
      </c>
      <c r="AA7" s="47" t="str">
        <f t="shared" si="1"/>
        <v>PLTD-YTD-FEB-14</v>
      </c>
      <c r="AB7" s="47" t="str">
        <f t="shared" ref="AB7:AM7" si="2">"PLTD-"&amp;AB5&amp;"-"&amp;UPPER(TEXT(AB6,"mmm-yy"))</f>
        <v>PLTD-MTD-MAR-14</v>
      </c>
      <c r="AC7" s="47" t="str">
        <f t="shared" si="2"/>
        <v>PLTD-YTD-MAR-14</v>
      </c>
      <c r="AD7" s="47" t="str">
        <f t="shared" si="2"/>
        <v>PLTD-MTD-APR-14</v>
      </c>
      <c r="AE7" s="47" t="str">
        <f t="shared" si="2"/>
        <v>PLTD-YTD-APR-14</v>
      </c>
      <c r="AF7" s="47" t="str">
        <f t="shared" si="2"/>
        <v>PLTD-MTD-MAY-14</v>
      </c>
      <c r="AG7" s="47" t="str">
        <f t="shared" si="2"/>
        <v>PLTD-YTD-MAY-14</v>
      </c>
      <c r="AH7" s="47" t="str">
        <f t="shared" si="2"/>
        <v>PLTD-MTD-JUN-14</v>
      </c>
      <c r="AI7" s="47" t="str">
        <f t="shared" si="2"/>
        <v>PLTD-YTD-JUN-14</v>
      </c>
      <c r="AJ7" s="47" t="str">
        <f t="shared" si="2"/>
        <v>PLTD-MTD-JUL-14</v>
      </c>
      <c r="AK7" s="47" t="str">
        <f t="shared" si="2"/>
        <v>PLTD-YTD-JUL-14</v>
      </c>
      <c r="AL7" s="47" t="str">
        <f t="shared" si="2"/>
        <v>PLTD-MTD-AUG-14</v>
      </c>
      <c r="AM7" s="47" t="str">
        <f t="shared" si="2"/>
        <v>PLTD-YTD-AUG-14</v>
      </c>
      <c r="AN7" s="47" t="str">
        <f t="shared" ref="AN7:AO7" si="3">"PLTD-"&amp;AN5&amp;"-"&amp;UPPER(TEXT(AN6,"mmm-yy"))</f>
        <v>PLTD-MTD-JUL-15</v>
      </c>
      <c r="AO7" s="47" t="str">
        <f t="shared" si="3"/>
        <v>PLTD-YTD-JUL-15</v>
      </c>
      <c r="AP7" s="47" t="s">
        <v>437</v>
      </c>
      <c r="AQ7" s="47" t="s">
        <v>438</v>
      </c>
      <c r="AR7" s="47" t="s">
        <v>440</v>
      </c>
      <c r="AS7" s="47" t="s">
        <v>441</v>
      </c>
      <c r="AT7" s="47" t="s">
        <v>445</v>
      </c>
      <c r="AU7" s="47" t="s">
        <v>446</v>
      </c>
      <c r="AV7" s="47" t="s">
        <v>449</v>
      </c>
      <c r="AW7" s="47" t="s">
        <v>450</v>
      </c>
      <c r="AX7" s="47" t="s">
        <v>453</v>
      </c>
      <c r="AY7" s="47" t="s">
        <v>454</v>
      </c>
      <c r="AZ7" s="47" t="s">
        <v>457</v>
      </c>
      <c r="BA7" s="47" t="s">
        <v>458</v>
      </c>
      <c r="BB7" s="47" t="s">
        <v>461</v>
      </c>
      <c r="BC7" s="47" t="s">
        <v>462</v>
      </c>
    </row>
    <row r="8" spans="1:55" x14ac:dyDescent="0.25">
      <c r="A8" s="76">
        <v>11</v>
      </c>
      <c r="B8" s="83">
        <f ca="1">INDIRECT("'RPT MGT PnL'!"&amp;B$6&amp;$A8)</f>
        <v>4000</v>
      </c>
      <c r="C8" s="60">
        <f ca="1">B8-K8</f>
        <v>0</v>
      </c>
      <c r="D8" s="59">
        <f ca="1">INDIRECT("'RPT MGT PnL'!"&amp;D$6&amp;$A8)</f>
        <v>160654.48000000001</v>
      </c>
      <c r="E8" s="82" t="e">
        <f t="shared" ref="E8:E47" si="4">INDEX(MTD,ROW()-6,$F$4)</f>
        <v>#N/A</v>
      </c>
      <c r="F8" s="60" t="e">
        <f ca="1">E8-D8</f>
        <v>#N/A</v>
      </c>
      <c r="G8" s="59">
        <f ca="1">INDIRECT("'RPT MGT PnL'!"&amp;G$6&amp;$A8)</f>
        <v>1656832.85</v>
      </c>
      <c r="H8" s="82" t="e">
        <f t="shared" ref="H8:H47" si="5">INDEX(MTD,ROW()-6,$I$4)</f>
        <v>#N/A</v>
      </c>
      <c r="I8" s="60" t="e">
        <f ca="1">H8-G8</f>
        <v>#N/A</v>
      </c>
      <c r="J8" s="12" t="s">
        <v>4</v>
      </c>
      <c r="K8" s="1">
        <v>4000</v>
      </c>
      <c r="L8" s="59">
        <v>144825.44</v>
      </c>
      <c r="M8" s="59">
        <v>1120116.3600000001</v>
      </c>
      <c r="N8" s="59">
        <v>982294.63</v>
      </c>
      <c r="O8" s="59">
        <v>975290.92</v>
      </c>
      <c r="P8" s="59">
        <v>159992.15</v>
      </c>
      <c r="Q8" s="59">
        <v>200884.04</v>
      </c>
      <c r="R8" s="59">
        <v>183335.17</v>
      </c>
      <c r="S8" s="59">
        <v>1303451.53</v>
      </c>
      <c r="T8" s="59">
        <v>153685.34</v>
      </c>
      <c r="U8" s="59">
        <v>1135979.9699999993</v>
      </c>
      <c r="V8" s="59">
        <v>168939.85</v>
      </c>
      <c r="W8" s="59">
        <v>1472391.38</v>
      </c>
      <c r="X8" s="59">
        <v>252968.86</v>
      </c>
      <c r="Y8" s="59">
        <v>1725360.24</v>
      </c>
      <c r="Z8">
        <v>114054.47</v>
      </c>
      <c r="AA8">
        <v>114054.47</v>
      </c>
      <c r="AB8">
        <v>81838.47</v>
      </c>
      <c r="AC8">
        <v>195892.94</v>
      </c>
      <c r="AD8">
        <v>88216.45</v>
      </c>
      <c r="AE8">
        <v>284109.39</v>
      </c>
      <c r="AF8" s="79">
        <v>89565.24</v>
      </c>
      <c r="AG8" s="79">
        <v>373674.63</v>
      </c>
      <c r="AH8" s="79">
        <v>149195.53</v>
      </c>
      <c r="AI8" s="79">
        <v>522870.16</v>
      </c>
      <c r="AJ8" s="79">
        <v>153895.76999999999</v>
      </c>
      <c r="AK8" s="79">
        <v>676765.93</v>
      </c>
      <c r="AL8" s="79">
        <v>104644.66</v>
      </c>
      <c r="AM8" s="79">
        <v>781410.59</v>
      </c>
      <c r="AN8">
        <v>144825.44</v>
      </c>
      <c r="AO8">
        <v>1120116.3600000001</v>
      </c>
      <c r="AP8" s="59">
        <v>139933.66</v>
      </c>
      <c r="AQ8" s="59">
        <v>1275913.6299999999</v>
      </c>
      <c r="AR8" s="59">
        <v>156243.85</v>
      </c>
      <c r="AS8" s="59">
        <v>1432157.48</v>
      </c>
      <c r="AT8" s="59">
        <v>196007.75</v>
      </c>
      <c r="AU8" s="59">
        <v>1628165.23</v>
      </c>
      <c r="AV8" s="59">
        <v>156580.95000000001</v>
      </c>
      <c r="AW8" s="59">
        <v>156580.95000000001</v>
      </c>
      <c r="AX8" s="59">
        <v>118945.2</v>
      </c>
      <c r="AY8" s="59">
        <v>275526.15000000002</v>
      </c>
      <c r="AZ8" s="59">
        <v>115026.53</v>
      </c>
      <c r="BA8" s="59">
        <v>390552.68</v>
      </c>
      <c r="BB8" s="59">
        <v>138198.13</v>
      </c>
      <c r="BC8" s="59">
        <v>1496178.37</v>
      </c>
    </row>
    <row r="9" spans="1:55" x14ac:dyDescent="0.25">
      <c r="A9" s="76">
        <v>56</v>
      </c>
      <c r="B9" s="83">
        <f t="shared" ref="B9:B47" ca="1" si="6">INDIRECT("'RPT MGT PnL'!"&amp;B$6&amp;$A9)</f>
        <v>6200</v>
      </c>
      <c r="C9" s="60">
        <f t="shared" ref="C9:C47" ca="1" si="7">B9-K9</f>
        <v>2191</v>
      </c>
      <c r="D9" s="59">
        <f t="shared" ref="D9:D47" ca="1" si="8">INDIRECT("'RPT MGT PnL'!"&amp;D$6&amp;$A9)</f>
        <v>2888.23</v>
      </c>
      <c r="E9" s="82" t="e">
        <f t="shared" si="4"/>
        <v>#N/A</v>
      </c>
      <c r="F9" s="60" t="e">
        <f ca="1">E9-D9</f>
        <v>#N/A</v>
      </c>
      <c r="G9" s="59">
        <f t="shared" ref="G9:G47" ca="1" si="9">INDIRECT("'RPT MGT PnL'!"&amp;G$6&amp;$A9)</f>
        <v>28912.41</v>
      </c>
      <c r="H9" s="82" t="e">
        <f t="shared" si="5"/>
        <v>#N/A</v>
      </c>
      <c r="I9" s="60" t="e">
        <f t="shared" ref="I9:I47" ca="1" si="10">H9-G9</f>
        <v>#N/A</v>
      </c>
      <c r="J9" s="14" t="s">
        <v>44</v>
      </c>
      <c r="K9" s="1">
        <v>4009</v>
      </c>
      <c r="L9" s="59">
        <v>2748.55</v>
      </c>
      <c r="M9" s="59">
        <v>19589.52</v>
      </c>
      <c r="N9" s="59">
        <v>16864.05</v>
      </c>
      <c r="O9" s="59">
        <v>16840.97</v>
      </c>
      <c r="P9" s="59">
        <v>1556.3</v>
      </c>
      <c r="Q9" s="59">
        <v>1956.82</v>
      </c>
      <c r="R9" s="59">
        <v>2424.6799999999998</v>
      </c>
      <c r="S9" s="59">
        <v>22014.2</v>
      </c>
      <c r="T9" s="59">
        <v>2945.2800000000011</v>
      </c>
      <c r="U9" s="59">
        <v>19809.329999999998</v>
      </c>
      <c r="V9" s="59">
        <v>4005.3</v>
      </c>
      <c r="W9" s="59">
        <v>26019.5</v>
      </c>
      <c r="X9" s="59">
        <v>1102.1099999999999</v>
      </c>
      <c r="Y9" s="59">
        <v>27121.61</v>
      </c>
      <c r="Z9">
        <v>2973.66</v>
      </c>
      <c r="AA9">
        <v>2973.66</v>
      </c>
      <c r="AB9">
        <v>2748.18</v>
      </c>
      <c r="AC9">
        <v>5721.84</v>
      </c>
      <c r="AD9">
        <v>2451.62</v>
      </c>
      <c r="AE9">
        <v>8173.46</v>
      </c>
      <c r="AF9" s="79">
        <v>2095.38</v>
      </c>
      <c r="AG9" s="79">
        <v>10268.84</v>
      </c>
      <c r="AH9" s="79">
        <v>937.75</v>
      </c>
      <c r="AI9" s="79">
        <v>11206.59</v>
      </c>
      <c r="AJ9" s="79">
        <v>2605.37</v>
      </c>
      <c r="AK9" s="79">
        <v>13811.96</v>
      </c>
      <c r="AL9" s="79">
        <v>1095.27</v>
      </c>
      <c r="AM9" s="79">
        <v>14907.23</v>
      </c>
      <c r="AN9">
        <v>2748.55</v>
      </c>
      <c r="AO9">
        <v>19589.52</v>
      </c>
      <c r="AP9" s="59">
        <v>3988.39</v>
      </c>
      <c r="AQ9" s="59">
        <v>23797.72</v>
      </c>
      <c r="AR9" s="59">
        <v>2007.07</v>
      </c>
      <c r="AS9" s="59">
        <v>25804.79</v>
      </c>
      <c r="AT9" s="59">
        <v>3745.53</v>
      </c>
      <c r="AU9" s="59">
        <v>29550.32</v>
      </c>
      <c r="AV9" s="59">
        <v>1209.1300000000001</v>
      </c>
      <c r="AW9" s="59">
        <v>1209.1300000000001</v>
      </c>
      <c r="AX9" s="59">
        <v>2889.76</v>
      </c>
      <c r="AY9" s="59">
        <v>4098.8900000000003</v>
      </c>
      <c r="AZ9" s="59">
        <v>5844.27</v>
      </c>
      <c r="BA9" s="59">
        <v>9943.16</v>
      </c>
      <c r="BB9" s="59">
        <v>2332.7600000000002</v>
      </c>
      <c r="BC9" s="59">
        <v>34550.9</v>
      </c>
    </row>
    <row r="10" spans="1:55" x14ac:dyDescent="0.25">
      <c r="A10" s="76">
        <v>52</v>
      </c>
      <c r="B10" s="83">
        <f t="shared" ca="1" si="6"/>
        <v>0</v>
      </c>
      <c r="C10" s="60">
        <f t="shared" ca="1" si="7"/>
        <v>-4905</v>
      </c>
      <c r="D10" s="59">
        <f t="shared" ca="1" si="8"/>
        <v>19726.189999999999</v>
      </c>
      <c r="E10" s="82" t="e">
        <f t="shared" si="4"/>
        <v>#N/A</v>
      </c>
      <c r="F10" s="60" t="e">
        <f t="shared" ref="F10:F47" ca="1" si="11">E10-D10</f>
        <v>#N/A</v>
      </c>
      <c r="G10" s="59">
        <f t="shared" ca="1" si="9"/>
        <v>232268.36000000004</v>
      </c>
      <c r="H10" s="82" t="e">
        <f t="shared" si="5"/>
        <v>#N/A</v>
      </c>
      <c r="I10" s="60" t="e">
        <f t="shared" ca="1" si="10"/>
        <v>#N/A</v>
      </c>
      <c r="J10" s="14" t="s">
        <v>40</v>
      </c>
      <c r="K10" s="1">
        <v>4905</v>
      </c>
      <c r="L10" s="59">
        <v>3158.55</v>
      </c>
      <c r="M10" s="59">
        <v>22833.81</v>
      </c>
      <c r="N10" s="59">
        <v>21773.9</v>
      </c>
      <c r="O10" s="59">
        <v>19675.259999999998</v>
      </c>
      <c r="P10" s="59">
        <v>2927.21</v>
      </c>
      <c r="Q10" s="59">
        <v>3384.85</v>
      </c>
      <c r="R10" s="59">
        <v>2880.89</v>
      </c>
      <c r="S10" s="59">
        <v>25714.7</v>
      </c>
      <c r="T10" s="59">
        <v>5308.09</v>
      </c>
      <c r="U10" s="59">
        <v>27081.989999999994</v>
      </c>
      <c r="V10" s="59">
        <v>2665.17</v>
      </c>
      <c r="W10" s="59">
        <v>28379.87</v>
      </c>
      <c r="X10" s="59">
        <v>3929.36</v>
      </c>
      <c r="Y10" s="59">
        <v>32309.23</v>
      </c>
      <c r="Z10">
        <v>2456.41</v>
      </c>
      <c r="AA10">
        <v>2456.41</v>
      </c>
      <c r="AB10">
        <v>2034.71</v>
      </c>
      <c r="AC10">
        <v>4491.12</v>
      </c>
      <c r="AD10">
        <v>2229.63</v>
      </c>
      <c r="AE10">
        <v>6720.75</v>
      </c>
      <c r="AF10" s="79">
        <v>1997.5</v>
      </c>
      <c r="AG10" s="79">
        <v>8718.25</v>
      </c>
      <c r="AH10" s="79">
        <v>3572.84</v>
      </c>
      <c r="AI10" s="79">
        <v>12291.09</v>
      </c>
      <c r="AJ10" s="79">
        <v>2659.03</v>
      </c>
      <c r="AK10" s="79">
        <v>14950.12</v>
      </c>
      <c r="AL10" s="79">
        <v>3438.93</v>
      </c>
      <c r="AM10" s="79">
        <v>18389.05</v>
      </c>
      <c r="AN10">
        <v>3158.55</v>
      </c>
      <c r="AO10">
        <v>22833.81</v>
      </c>
      <c r="AP10" s="59">
        <v>2069.19</v>
      </c>
      <c r="AQ10" s="59">
        <v>29151.18</v>
      </c>
      <c r="AR10" s="59">
        <v>2300.64</v>
      </c>
      <c r="AS10" s="59">
        <v>31451.82</v>
      </c>
      <c r="AT10" s="59">
        <v>4830.1499999999996</v>
      </c>
      <c r="AU10" s="59">
        <v>36281.97</v>
      </c>
      <c r="AV10" s="59">
        <v>5171.0600000000004</v>
      </c>
      <c r="AW10" s="59">
        <v>5171.0600000000004</v>
      </c>
      <c r="AX10" s="59">
        <v>3062.97</v>
      </c>
      <c r="AY10" s="59">
        <v>8234.0300000000007</v>
      </c>
      <c r="AZ10" s="59">
        <v>2201.9499999999998</v>
      </c>
      <c r="BA10" s="59">
        <v>10435.98</v>
      </c>
      <c r="BB10" s="59">
        <v>2177.86</v>
      </c>
      <c r="BC10" s="59">
        <v>35866.660000000003</v>
      </c>
    </row>
    <row r="11" spans="1:55" x14ac:dyDescent="0.25">
      <c r="A11" s="76">
        <v>13</v>
      </c>
      <c r="B11" s="83">
        <f t="shared" ca="1" si="6"/>
        <v>5000</v>
      </c>
      <c r="C11" s="60">
        <f t="shared" ca="1" si="7"/>
        <v>0</v>
      </c>
      <c r="D11" s="59">
        <f t="shared" ca="1" si="8"/>
        <v>95480.28</v>
      </c>
      <c r="E11" s="82" t="e">
        <f t="shared" si="4"/>
        <v>#N/A</v>
      </c>
      <c r="F11" s="60" t="e">
        <f t="shared" ca="1" si="11"/>
        <v>#N/A</v>
      </c>
      <c r="G11" s="59">
        <f t="shared" ca="1" si="9"/>
        <v>1015669.54</v>
      </c>
      <c r="H11" s="82" t="e">
        <f t="shared" si="5"/>
        <v>#N/A</v>
      </c>
      <c r="I11" s="60" t="e">
        <f t="shared" ca="1" si="10"/>
        <v>#N/A</v>
      </c>
      <c r="J11" s="12" t="s">
        <v>5</v>
      </c>
      <c r="K11" s="1">
        <v>5000</v>
      </c>
      <c r="L11" s="59">
        <v>93079.08</v>
      </c>
      <c r="M11" s="59">
        <v>723951.29</v>
      </c>
      <c r="N11" s="59">
        <v>616999.51</v>
      </c>
      <c r="O11" s="59">
        <v>630872.21</v>
      </c>
      <c r="P11" s="59">
        <v>105759.02</v>
      </c>
      <c r="Q11" s="59">
        <v>129681</v>
      </c>
      <c r="R11" s="59">
        <v>117510.07</v>
      </c>
      <c r="S11" s="59">
        <v>841461.36</v>
      </c>
      <c r="T11" s="59">
        <v>90075.48000000001</v>
      </c>
      <c r="U11" s="59">
        <v>707074.99</v>
      </c>
      <c r="V11" s="59">
        <v>112637.69</v>
      </c>
      <c r="W11" s="59">
        <v>954099.05</v>
      </c>
      <c r="X11" s="59">
        <v>168327.41</v>
      </c>
      <c r="Y11" s="59">
        <v>1122426.46</v>
      </c>
      <c r="Z11">
        <v>71570.42</v>
      </c>
      <c r="AA11">
        <v>71570.42</v>
      </c>
      <c r="AB11">
        <v>49204.81</v>
      </c>
      <c r="AC11">
        <v>120775.23</v>
      </c>
      <c r="AD11">
        <v>53858.239999999998</v>
      </c>
      <c r="AE11">
        <v>174633.47</v>
      </c>
      <c r="AF11" s="79">
        <v>54281.72</v>
      </c>
      <c r="AG11" s="79">
        <v>228915.19</v>
      </c>
      <c r="AH11" s="79">
        <v>95156.32</v>
      </c>
      <c r="AI11" s="79">
        <v>324071.51</v>
      </c>
      <c r="AJ11" s="79">
        <v>101148</v>
      </c>
      <c r="AK11" s="79">
        <v>425219.51</v>
      </c>
      <c r="AL11" s="79">
        <v>62099</v>
      </c>
      <c r="AM11" s="79">
        <v>487318.51</v>
      </c>
      <c r="AN11">
        <v>93079.08</v>
      </c>
      <c r="AO11">
        <v>723951.29</v>
      </c>
      <c r="AP11" s="59">
        <v>83747.37</v>
      </c>
      <c r="AQ11" s="59">
        <v>790822.36</v>
      </c>
      <c r="AR11" s="59">
        <v>100297.73</v>
      </c>
      <c r="AS11" s="59">
        <v>891120.09</v>
      </c>
      <c r="AT11" s="59">
        <v>115292.03</v>
      </c>
      <c r="AU11" s="59">
        <v>1006412.12</v>
      </c>
      <c r="AV11" s="59">
        <v>91169.17</v>
      </c>
      <c r="AW11" s="59">
        <v>91169.17</v>
      </c>
      <c r="AX11" s="59">
        <v>70285.94</v>
      </c>
      <c r="AY11" s="59">
        <v>161455.10999999999</v>
      </c>
      <c r="AZ11" s="59">
        <v>76648.36</v>
      </c>
      <c r="BA11" s="59">
        <v>238103.47</v>
      </c>
      <c r="BB11" s="59">
        <v>87535.43</v>
      </c>
      <c r="BC11" s="59">
        <v>920189.26</v>
      </c>
    </row>
    <row r="12" spans="1:55" x14ac:dyDescent="0.25">
      <c r="A12" s="79"/>
      <c r="B12" s="83"/>
      <c r="C12" s="60"/>
      <c r="D12" s="59"/>
      <c r="E12" s="82"/>
      <c r="F12" s="60"/>
      <c r="G12" s="59"/>
      <c r="H12" s="82"/>
      <c r="I12" s="60"/>
      <c r="J12" s="12"/>
      <c r="K12" s="1">
        <v>5001</v>
      </c>
      <c r="L12" s="59">
        <v>0</v>
      </c>
      <c r="M12" s="59">
        <v>0</v>
      </c>
      <c r="N12" s="59">
        <v>0</v>
      </c>
      <c r="O12" s="59">
        <v>0</v>
      </c>
      <c r="P12" s="59">
        <v>0</v>
      </c>
      <c r="Q12" s="59">
        <v>0</v>
      </c>
      <c r="R12" s="59"/>
      <c r="S12" s="59"/>
      <c r="T12" s="59">
        <v>0</v>
      </c>
      <c r="U12" s="59">
        <v>0</v>
      </c>
      <c r="V12" s="59">
        <v>0</v>
      </c>
      <c r="W12" s="59">
        <v>0</v>
      </c>
      <c r="X12" s="59">
        <v>-78224</v>
      </c>
      <c r="Y12" s="59">
        <v>-78224</v>
      </c>
      <c r="AF12" s="79"/>
      <c r="AG12" s="79"/>
      <c r="AH12" s="79"/>
      <c r="AI12" s="79"/>
      <c r="AJ12" s="79"/>
      <c r="AK12" s="79"/>
      <c r="AL12" s="79"/>
      <c r="AM12" s="79"/>
      <c r="AN12">
        <v>0</v>
      </c>
      <c r="AO12">
        <v>0</v>
      </c>
      <c r="AP12" s="59">
        <v>0</v>
      </c>
      <c r="AQ12" s="59">
        <v>0</v>
      </c>
      <c r="AR12" s="59">
        <v>0</v>
      </c>
      <c r="AS12" s="59">
        <v>0</v>
      </c>
      <c r="AT12" s="59">
        <v>-31593.25</v>
      </c>
      <c r="AU12" s="59">
        <v>-31593.25</v>
      </c>
      <c r="AV12" s="59">
        <v>0</v>
      </c>
      <c r="AW12" s="59">
        <v>0</v>
      </c>
      <c r="AX12" s="59">
        <v>0</v>
      </c>
      <c r="AY12" s="59">
        <v>0</v>
      </c>
      <c r="AZ12" s="59">
        <v>0</v>
      </c>
      <c r="BA12" s="59">
        <v>0</v>
      </c>
      <c r="BB12" s="59">
        <v>0</v>
      </c>
      <c r="BC12" s="59">
        <v>0</v>
      </c>
    </row>
    <row r="13" spans="1:55" x14ac:dyDescent="0.25">
      <c r="A13" s="76">
        <v>53</v>
      </c>
      <c r="B13" s="83">
        <f t="shared" ca="1" si="6"/>
        <v>0</v>
      </c>
      <c r="C13" s="60">
        <f t="shared" ca="1" si="7"/>
        <v>-6100</v>
      </c>
      <c r="D13" s="59">
        <f t="shared" ca="1" si="8"/>
        <v>0</v>
      </c>
      <c r="E13" s="82" t="e">
        <f t="shared" si="4"/>
        <v>#N/A</v>
      </c>
      <c r="F13" s="60" t="e">
        <f t="shared" ca="1" si="11"/>
        <v>#N/A</v>
      </c>
      <c r="G13" s="59">
        <f t="shared" ca="1" si="9"/>
        <v>0</v>
      </c>
      <c r="H13" s="82" t="e">
        <f t="shared" si="5"/>
        <v>#N/A</v>
      </c>
      <c r="I13" s="60" t="e">
        <f t="shared" ca="1" si="10"/>
        <v>#N/A</v>
      </c>
      <c r="J13" s="14" t="s">
        <v>41</v>
      </c>
      <c r="K13" s="1">
        <v>6100</v>
      </c>
      <c r="L13" s="59">
        <f>631.79+200</f>
        <v>831.79</v>
      </c>
      <c r="M13" s="59">
        <f>4032.51+1800</f>
        <v>5832.51</v>
      </c>
      <c r="N13" s="59">
        <v>3941.87</v>
      </c>
      <c r="O13" s="59">
        <v>5000.7199999999993</v>
      </c>
      <c r="P13" s="59">
        <v>861.44</v>
      </c>
      <c r="Q13" s="59">
        <v>760.63</v>
      </c>
      <c r="R13" s="59">
        <v>1070.9000000000001</v>
      </c>
      <c r="S13" s="59">
        <v>6903.41</v>
      </c>
      <c r="T13" s="59">
        <v>1432.64</v>
      </c>
      <c r="U13" s="59">
        <v>5374.51</v>
      </c>
      <c r="V13" s="59">
        <v>343.95</v>
      </c>
      <c r="W13" s="59">
        <v>7247.36</v>
      </c>
      <c r="X13" s="59">
        <v>1308.6600000000001</v>
      </c>
      <c r="Y13" s="59">
        <v>6356.02</v>
      </c>
      <c r="Z13">
        <v>665.13</v>
      </c>
      <c r="AA13">
        <v>665.13</v>
      </c>
      <c r="AB13">
        <v>508.74</v>
      </c>
      <c r="AC13">
        <v>1173.8699999999999</v>
      </c>
      <c r="AD13">
        <v>570.99</v>
      </c>
      <c r="AE13">
        <v>1744.86</v>
      </c>
      <c r="AF13" s="79">
        <v>267.3</v>
      </c>
      <c r="AG13" s="79">
        <v>2012.16</v>
      </c>
      <c r="AH13" s="79">
        <f>443.69+50</f>
        <v>493.69</v>
      </c>
      <c r="AI13" s="79">
        <f>2105.85+400</f>
        <v>2505.85</v>
      </c>
      <c r="AJ13" s="79">
        <f>313.46+50</f>
        <v>363.46</v>
      </c>
      <c r="AK13" s="79">
        <f>2419.31+450</f>
        <v>2869.31</v>
      </c>
      <c r="AL13" s="79">
        <v>311.93</v>
      </c>
      <c r="AM13" s="79">
        <f>2731.24+450</f>
        <v>3181.24</v>
      </c>
      <c r="AN13">
        <v>831.79</v>
      </c>
      <c r="AO13">
        <v>5832.51</v>
      </c>
      <c r="AP13" s="59">
        <v>1108.03</v>
      </c>
      <c r="AQ13" s="59">
        <v>6663</v>
      </c>
      <c r="AR13" s="59">
        <v>503.93</v>
      </c>
      <c r="AS13" s="59">
        <v>6663</v>
      </c>
      <c r="AT13" s="59">
        <v>236.31</v>
      </c>
      <c r="AU13" s="59">
        <v>6663</v>
      </c>
      <c r="AV13" s="59">
        <v>1430.99</v>
      </c>
      <c r="AW13" s="59">
        <v>6663</v>
      </c>
      <c r="AX13" s="59">
        <v>5452.82</v>
      </c>
      <c r="AY13" s="59">
        <v>6663</v>
      </c>
      <c r="AZ13" s="59">
        <v>3075.64</v>
      </c>
      <c r="BA13" s="59">
        <v>6663</v>
      </c>
      <c r="BB13" s="59">
        <v>1593.34</v>
      </c>
      <c r="BC13" s="59">
        <v>6663</v>
      </c>
    </row>
    <row r="14" spans="1:55" x14ac:dyDescent="0.25">
      <c r="A14" s="76">
        <v>54</v>
      </c>
      <c r="B14" s="83">
        <f t="shared" ca="1" si="6"/>
        <v>4905</v>
      </c>
      <c r="C14" s="60">
        <f t="shared" ca="1" si="7"/>
        <v>-1295</v>
      </c>
      <c r="D14" s="59">
        <f t="shared" ca="1" si="8"/>
        <v>3648.66</v>
      </c>
      <c r="E14" s="82" t="e">
        <f t="shared" si="4"/>
        <v>#N/A</v>
      </c>
      <c r="F14" s="60" t="e">
        <f t="shared" ca="1" si="11"/>
        <v>#N/A</v>
      </c>
      <c r="G14" s="59">
        <f t="shared" ca="1" si="9"/>
        <v>39515.32</v>
      </c>
      <c r="H14" s="82" t="e">
        <f t="shared" si="5"/>
        <v>#N/A</v>
      </c>
      <c r="I14" s="60" t="e">
        <f t="shared" ca="1" si="10"/>
        <v>#N/A</v>
      </c>
      <c r="J14" s="14" t="s">
        <v>42</v>
      </c>
      <c r="K14" s="1">
        <v>6200</v>
      </c>
      <c r="L14" s="59">
        <v>1615.9</v>
      </c>
      <c r="M14" s="59">
        <v>14263.6</v>
      </c>
      <c r="N14" s="59">
        <v>14765.99</v>
      </c>
      <c r="O14" s="59">
        <v>12647.7</v>
      </c>
      <c r="P14" s="59">
        <v>1603.2</v>
      </c>
      <c r="Q14" s="59">
        <v>2670.97</v>
      </c>
      <c r="R14" s="59">
        <v>1557.3</v>
      </c>
      <c r="S14" s="59">
        <v>15820.9</v>
      </c>
      <c r="T14" s="59">
        <v>1605.2</v>
      </c>
      <c r="U14" s="59">
        <v>16371.19</v>
      </c>
      <c r="V14" s="59">
        <v>1557.3</v>
      </c>
      <c r="W14" s="59">
        <v>17378.2</v>
      </c>
      <c r="X14" s="59">
        <v>1556.6</v>
      </c>
      <c r="Y14" s="59">
        <v>18934.8</v>
      </c>
      <c r="Z14">
        <v>1585.42</v>
      </c>
      <c r="AA14">
        <v>1585.42</v>
      </c>
      <c r="AB14">
        <v>1608.5</v>
      </c>
      <c r="AC14">
        <v>3193.92</v>
      </c>
      <c r="AD14">
        <v>1600.15</v>
      </c>
      <c r="AE14">
        <v>4794.07</v>
      </c>
      <c r="AF14" s="79">
        <v>1555.2</v>
      </c>
      <c r="AG14" s="79">
        <v>6349.27</v>
      </c>
      <c r="AH14" s="79">
        <v>2028</v>
      </c>
      <c r="AI14" s="79">
        <v>8377.27</v>
      </c>
      <c r="AJ14" s="79">
        <v>2055.75</v>
      </c>
      <c r="AK14" s="79">
        <v>10433.02</v>
      </c>
      <c r="AL14" s="79">
        <v>1662</v>
      </c>
      <c r="AM14" s="79">
        <v>12095.02</v>
      </c>
      <c r="AN14">
        <v>1615.9</v>
      </c>
      <c r="AO14">
        <v>14263.6</v>
      </c>
      <c r="AP14" s="59">
        <v>1717.3</v>
      </c>
      <c r="AQ14" s="59">
        <v>18088.490000000002</v>
      </c>
      <c r="AR14" s="59">
        <v>1825.23</v>
      </c>
      <c r="AS14" s="59">
        <v>19913.72</v>
      </c>
      <c r="AT14" s="59">
        <v>1605.3</v>
      </c>
      <c r="AU14" s="59">
        <v>21519.02</v>
      </c>
      <c r="AV14" s="59">
        <v>1569.5</v>
      </c>
      <c r="AW14" s="59">
        <v>1569.5</v>
      </c>
      <c r="AX14" s="59">
        <v>6117.83</v>
      </c>
      <c r="AY14" s="59">
        <v>7687.33</v>
      </c>
      <c r="AZ14" s="59">
        <v>1653.7</v>
      </c>
      <c r="BA14" s="59">
        <v>9341.0300000000007</v>
      </c>
      <c r="BB14" s="59">
        <v>2448.63</v>
      </c>
      <c r="BC14" s="59">
        <v>26024.18</v>
      </c>
    </row>
    <row r="15" spans="1:55" x14ac:dyDescent="0.25">
      <c r="A15" s="76">
        <v>55</v>
      </c>
      <c r="B15" s="83">
        <f t="shared" ca="1" si="6"/>
        <v>6100</v>
      </c>
      <c r="C15" s="60">
        <f t="shared" ca="1" si="7"/>
        <v>-101</v>
      </c>
      <c r="D15" s="59">
        <f t="shared" ca="1" si="8"/>
        <v>26.42</v>
      </c>
      <c r="E15" s="82" t="e">
        <f t="shared" si="4"/>
        <v>#N/A</v>
      </c>
      <c r="F15" s="60" t="e">
        <f t="shared" ca="1" si="11"/>
        <v>#N/A</v>
      </c>
      <c r="G15" s="59">
        <f t="shared" ca="1" si="9"/>
        <v>15686.32</v>
      </c>
      <c r="H15" s="82" t="e">
        <f t="shared" si="5"/>
        <v>#N/A</v>
      </c>
      <c r="I15" s="60" t="e">
        <f t="shared" ca="1" si="10"/>
        <v>#N/A</v>
      </c>
      <c r="J15" s="14" t="s">
        <v>43</v>
      </c>
      <c r="K15" s="1">
        <v>6201</v>
      </c>
      <c r="L15" s="59">
        <v>496.66</v>
      </c>
      <c r="M15" s="59">
        <v>5612.78</v>
      </c>
      <c r="N15" s="59">
        <v>7221.29</v>
      </c>
      <c r="O15" s="59">
        <v>5116.12</v>
      </c>
      <c r="P15" s="59">
        <v>1154.71</v>
      </c>
      <c r="Q15" s="59">
        <v>1251.83</v>
      </c>
      <c r="R15" s="59">
        <v>466.67</v>
      </c>
      <c r="S15" s="59">
        <v>6079.45</v>
      </c>
      <c r="T15" s="59">
        <v>0</v>
      </c>
      <c r="U15" s="59">
        <v>7221.2900000000009</v>
      </c>
      <c r="V15" s="59">
        <v>466.67</v>
      </c>
      <c r="W15" s="59">
        <v>6546.12</v>
      </c>
      <c r="X15" s="59">
        <v>0</v>
      </c>
      <c r="Y15" s="59">
        <v>6546.12</v>
      </c>
      <c r="Z15">
        <v>1662.46</v>
      </c>
      <c r="AA15">
        <v>1662.46</v>
      </c>
      <c r="AB15">
        <v>1451.36</v>
      </c>
      <c r="AC15">
        <v>3113.82</v>
      </c>
      <c r="AD15">
        <v>0</v>
      </c>
      <c r="AE15">
        <v>3113.82</v>
      </c>
      <c r="AF15" s="79">
        <v>1415</v>
      </c>
      <c r="AG15" s="79">
        <v>4528.82</v>
      </c>
      <c r="AH15" s="79">
        <v>0</v>
      </c>
      <c r="AI15" s="79">
        <v>4528.82</v>
      </c>
      <c r="AJ15" s="79">
        <v>0</v>
      </c>
      <c r="AK15" s="79">
        <v>4528.82</v>
      </c>
      <c r="AL15" s="79">
        <v>1440.64</v>
      </c>
      <c r="AM15" s="79">
        <v>5969.46</v>
      </c>
      <c r="AN15">
        <v>496.66</v>
      </c>
      <c r="AO15">
        <v>5612.78</v>
      </c>
      <c r="AP15" s="59">
        <v>0</v>
      </c>
      <c r="AQ15" s="59">
        <v>7221.29</v>
      </c>
      <c r="AR15" s="59">
        <v>100</v>
      </c>
      <c r="AS15" s="59">
        <v>7321.29</v>
      </c>
      <c r="AT15" s="59">
        <v>0</v>
      </c>
      <c r="AU15" s="59">
        <v>7321.29</v>
      </c>
      <c r="AV15" s="59">
        <v>1325</v>
      </c>
      <c r="AW15" s="59">
        <v>1325</v>
      </c>
      <c r="AX15" s="59">
        <v>1253.98</v>
      </c>
      <c r="AY15" s="59">
        <v>2578.98</v>
      </c>
      <c r="AZ15" s="59">
        <v>0</v>
      </c>
      <c r="BA15" s="59">
        <v>2578.98</v>
      </c>
      <c r="BB15" s="59">
        <v>124.85</v>
      </c>
      <c r="BC15" s="59">
        <v>6213.85</v>
      </c>
    </row>
    <row r="16" spans="1:55" x14ac:dyDescent="0.25">
      <c r="A16" s="76">
        <v>15</v>
      </c>
      <c r="B16" s="83">
        <f t="shared" ca="1" si="6"/>
        <v>0</v>
      </c>
      <c r="C16" s="60">
        <f t="shared" ca="1" si="7"/>
        <v>-7000</v>
      </c>
      <c r="D16" s="59">
        <f t="shared" ca="1" si="8"/>
        <v>95480.28</v>
      </c>
      <c r="E16" s="82" t="e">
        <f t="shared" si="4"/>
        <v>#N/A</v>
      </c>
      <c r="F16" s="60" t="e">
        <f t="shared" ca="1" si="11"/>
        <v>#N/A</v>
      </c>
      <c r="G16" s="59">
        <f t="shared" ca="1" si="9"/>
        <v>1015669.54</v>
      </c>
      <c r="H16" s="82" t="e">
        <f t="shared" si="5"/>
        <v>#N/A</v>
      </c>
      <c r="I16" s="60" t="e">
        <f t="shared" ca="1" si="10"/>
        <v>#N/A</v>
      </c>
      <c r="J16" s="14" t="s">
        <v>6</v>
      </c>
      <c r="K16" s="1">
        <v>7000</v>
      </c>
      <c r="L16" s="59">
        <v>10804.36</v>
      </c>
      <c r="M16" s="59">
        <f>82199.58+3500</f>
        <v>85699.58</v>
      </c>
      <c r="N16" s="59">
        <v>76021.789999999994</v>
      </c>
      <c r="O16" s="59">
        <v>74895</v>
      </c>
      <c r="P16" s="59">
        <v>9724.51</v>
      </c>
      <c r="Q16" s="59">
        <v>9953.9</v>
      </c>
      <c r="R16" s="59">
        <v>10602.96</v>
      </c>
      <c r="S16" s="59">
        <v>96302.54</v>
      </c>
      <c r="T16" s="59">
        <v>11760.260000000002</v>
      </c>
      <c r="U16" s="59">
        <v>87782.05</v>
      </c>
      <c r="V16" s="59">
        <v>12292.28</v>
      </c>
      <c r="W16" s="59">
        <v>108594.82</v>
      </c>
      <c r="X16" s="59">
        <v>11085.65</v>
      </c>
      <c r="Y16" s="59">
        <v>116180.47</v>
      </c>
      <c r="Z16">
        <v>8540.18</v>
      </c>
      <c r="AA16">
        <v>8540.18</v>
      </c>
      <c r="AB16">
        <v>8883.2000000000007</v>
      </c>
      <c r="AC16">
        <v>17423.38</v>
      </c>
      <c r="AD16">
        <v>8470.0499999999993</v>
      </c>
      <c r="AE16">
        <v>25893.43</v>
      </c>
      <c r="AF16" s="79">
        <v>10588.57</v>
      </c>
      <c r="AG16" s="79">
        <v>36482</v>
      </c>
      <c r="AH16" s="79">
        <v>9488.02</v>
      </c>
      <c r="AI16" s="79">
        <v>45970.02</v>
      </c>
      <c r="AJ16" s="79">
        <f>13532.89-2050</f>
        <v>11482.89</v>
      </c>
      <c r="AK16" s="79">
        <f>59502.91-2050</f>
        <v>57452.91</v>
      </c>
      <c r="AL16" s="79">
        <f>6564.98+2050</f>
        <v>8614.98</v>
      </c>
      <c r="AM16" s="79">
        <v>66067.89</v>
      </c>
      <c r="AN16">
        <v>10804.36</v>
      </c>
      <c r="AO16">
        <v>85699.58</v>
      </c>
      <c r="AP16" s="59">
        <v>10360.950000000001</v>
      </c>
      <c r="AQ16" s="59">
        <v>98143</v>
      </c>
      <c r="AR16" s="59">
        <v>11231.22</v>
      </c>
      <c r="AS16" s="59">
        <v>109374.22</v>
      </c>
      <c r="AT16" s="59">
        <v>6350.55</v>
      </c>
      <c r="AU16" s="59">
        <v>115724.77</v>
      </c>
      <c r="AV16" s="59">
        <v>9347.17</v>
      </c>
      <c r="AW16" s="59">
        <v>9347.17</v>
      </c>
      <c r="AX16" s="59">
        <v>8668.73</v>
      </c>
      <c r="AY16" s="59">
        <v>18015.900000000001</v>
      </c>
      <c r="AZ16" s="59">
        <v>10048.969999999999</v>
      </c>
      <c r="BA16" s="59">
        <v>28064.87</v>
      </c>
      <c r="BB16" s="59">
        <v>12692.24</v>
      </c>
      <c r="BC16" s="59">
        <v>106124.34</v>
      </c>
    </row>
    <row r="17" spans="2:55" x14ac:dyDescent="0.25">
      <c r="B17" s="83" t="e">
        <f t="shared" ca="1" si="6"/>
        <v>#REF!</v>
      </c>
      <c r="C17" s="60" t="e">
        <f t="shared" ca="1" si="7"/>
        <v>#REF!</v>
      </c>
      <c r="D17" s="59" t="e">
        <f t="shared" ca="1" si="8"/>
        <v>#REF!</v>
      </c>
      <c r="E17" s="82" t="e">
        <f t="shared" si="4"/>
        <v>#N/A</v>
      </c>
      <c r="F17" s="60" t="e">
        <f t="shared" ca="1" si="11"/>
        <v>#N/A</v>
      </c>
      <c r="G17" s="59" t="e">
        <f t="shared" ca="1" si="9"/>
        <v>#REF!</v>
      </c>
      <c r="H17" s="82" t="e">
        <f t="shared" si="5"/>
        <v>#N/A</v>
      </c>
      <c r="I17" s="60" t="e">
        <f t="shared" ca="1" si="10"/>
        <v>#N/A</v>
      </c>
      <c r="J17" s="14" t="s">
        <v>11</v>
      </c>
      <c r="K17" s="1">
        <v>7006</v>
      </c>
      <c r="L17" s="59">
        <v>0</v>
      </c>
      <c r="M17" s="59">
        <v>0</v>
      </c>
      <c r="N17" s="59">
        <v>0</v>
      </c>
      <c r="O17" s="59">
        <v>0</v>
      </c>
      <c r="P17" s="59">
        <v>0</v>
      </c>
      <c r="Q17" s="59">
        <v>0</v>
      </c>
      <c r="R17" s="59">
        <v>0</v>
      </c>
      <c r="S17" s="59">
        <v>0</v>
      </c>
      <c r="T17" s="59">
        <v>0</v>
      </c>
      <c r="U17" s="59">
        <v>0</v>
      </c>
      <c r="V17" s="59">
        <v>0</v>
      </c>
      <c r="W17" s="59">
        <v>0</v>
      </c>
      <c r="X17" s="59">
        <v>0</v>
      </c>
      <c r="Y17" s="59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 s="79">
        <v>0</v>
      </c>
      <c r="AG17" s="79">
        <v>0</v>
      </c>
      <c r="AH17" s="79">
        <v>0</v>
      </c>
      <c r="AI17" s="79">
        <v>0</v>
      </c>
      <c r="AJ17" s="79">
        <v>0</v>
      </c>
      <c r="AK17" s="79">
        <f>'[1]MGT PnL MAR13'!AP16+'[1]MGT PnL JUN14'!AN16</f>
        <v>0</v>
      </c>
      <c r="AL17" s="79">
        <v>0</v>
      </c>
      <c r="AM17" s="79">
        <f>'[1]MGT PnL MAR13'!AX17+'[1]MGT PnL JUN14'!AV17</f>
        <v>0</v>
      </c>
      <c r="AN17">
        <v>0</v>
      </c>
      <c r="AO17">
        <v>0</v>
      </c>
      <c r="AP17" s="59">
        <v>0</v>
      </c>
      <c r="AQ17" s="59">
        <v>0</v>
      </c>
      <c r="AR17" s="59">
        <v>0</v>
      </c>
      <c r="AS17" s="59">
        <v>0</v>
      </c>
      <c r="AT17" s="59">
        <v>0</v>
      </c>
      <c r="AU17" s="59">
        <v>0</v>
      </c>
      <c r="AV17" s="59">
        <v>0</v>
      </c>
      <c r="AW17" s="59">
        <v>0</v>
      </c>
      <c r="AX17" s="59">
        <v>0</v>
      </c>
      <c r="AY17" s="59">
        <v>0</v>
      </c>
      <c r="AZ17" s="59">
        <v>0</v>
      </c>
      <c r="BA17" s="59">
        <v>0</v>
      </c>
      <c r="BB17" s="59">
        <v>0</v>
      </c>
      <c r="BC17" s="59">
        <v>0</v>
      </c>
    </row>
    <row r="18" spans="2:55" x14ac:dyDescent="0.25">
      <c r="B18" s="83" t="e">
        <f t="shared" ca="1" si="6"/>
        <v>#REF!</v>
      </c>
      <c r="C18" s="60" t="e">
        <f t="shared" ca="1" si="7"/>
        <v>#REF!</v>
      </c>
      <c r="D18" s="59" t="e">
        <f t="shared" ca="1" si="8"/>
        <v>#REF!</v>
      </c>
      <c r="E18" s="82" t="e">
        <f t="shared" si="4"/>
        <v>#N/A</v>
      </c>
      <c r="F18" s="60" t="e">
        <f t="shared" ca="1" si="11"/>
        <v>#N/A</v>
      </c>
      <c r="G18" s="59" t="e">
        <f t="shared" ca="1" si="9"/>
        <v>#REF!</v>
      </c>
      <c r="H18" s="82" t="e">
        <f t="shared" si="5"/>
        <v>#N/A</v>
      </c>
      <c r="I18" s="60" t="e">
        <f t="shared" ca="1" si="10"/>
        <v>#N/A</v>
      </c>
      <c r="J18" s="14" t="s">
        <v>18</v>
      </c>
      <c r="K18" s="1">
        <v>7020</v>
      </c>
      <c r="L18" s="59">
        <v>0</v>
      </c>
      <c r="M18" s="59">
        <v>0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0</v>
      </c>
      <c r="U18" s="59">
        <v>0</v>
      </c>
      <c r="V18" s="59">
        <v>0</v>
      </c>
      <c r="W18" s="59">
        <v>0</v>
      </c>
      <c r="X18" s="59">
        <v>0</v>
      </c>
      <c r="Y18" s="59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 s="79">
        <v>0</v>
      </c>
      <c r="AG18" s="79">
        <v>0</v>
      </c>
      <c r="AH18" s="79">
        <v>0</v>
      </c>
      <c r="AI18" s="79">
        <v>0</v>
      </c>
      <c r="AJ18" s="79">
        <v>0</v>
      </c>
      <c r="AK18" s="79">
        <f>'[1]MGT PnL MAR13'!AP25+'[1]MGT PnL JUN14'!AN25</f>
        <v>0</v>
      </c>
      <c r="AL18" s="79">
        <v>0</v>
      </c>
      <c r="AM18" s="79">
        <f>'[1]MGT PnL MAR13'!AX26+'[1]MGT PnL JUN14'!AV26</f>
        <v>0</v>
      </c>
      <c r="AN18">
        <v>0</v>
      </c>
      <c r="AO18">
        <v>0</v>
      </c>
      <c r="AP18" s="59">
        <v>0</v>
      </c>
      <c r="AQ18" s="59">
        <v>0</v>
      </c>
      <c r="AR18" s="59">
        <v>0</v>
      </c>
      <c r="AS18" s="59">
        <v>0</v>
      </c>
      <c r="AT18" s="59">
        <v>0</v>
      </c>
      <c r="AU18" s="59">
        <v>0</v>
      </c>
      <c r="AV18" s="59">
        <v>0</v>
      </c>
      <c r="AW18" s="59">
        <v>0</v>
      </c>
      <c r="AX18" s="59">
        <v>0</v>
      </c>
      <c r="AY18" s="59">
        <v>0</v>
      </c>
      <c r="AZ18" s="59">
        <v>0</v>
      </c>
      <c r="BA18" s="59">
        <v>0</v>
      </c>
      <c r="BB18" s="59">
        <v>0</v>
      </c>
      <c r="BC18" s="59">
        <v>0</v>
      </c>
    </row>
    <row r="19" spans="2:55" x14ac:dyDescent="0.25">
      <c r="B19" s="83" t="e">
        <f t="shared" ca="1" si="6"/>
        <v>#REF!</v>
      </c>
      <c r="C19" s="60" t="e">
        <f t="shared" ca="1" si="7"/>
        <v>#REF!</v>
      </c>
      <c r="D19" s="59" t="e">
        <f t="shared" ca="1" si="8"/>
        <v>#REF!</v>
      </c>
      <c r="E19" s="82" t="e">
        <f t="shared" si="4"/>
        <v>#N/A</v>
      </c>
      <c r="F19" s="60" t="e">
        <f t="shared" ca="1" si="11"/>
        <v>#N/A</v>
      </c>
      <c r="G19" s="59" t="e">
        <f t="shared" ca="1" si="9"/>
        <v>#REF!</v>
      </c>
      <c r="H19" s="82" t="e">
        <f t="shared" si="5"/>
        <v>#N/A</v>
      </c>
      <c r="I19" s="60" t="e">
        <f t="shared" ca="1" si="10"/>
        <v>#N/A</v>
      </c>
      <c r="J19" s="14" t="s">
        <v>7</v>
      </c>
      <c r="K19" s="1">
        <v>7100</v>
      </c>
      <c r="L19" s="59">
        <v>750</v>
      </c>
      <c r="M19" s="59">
        <v>6750</v>
      </c>
      <c r="N19" s="59">
        <v>6000</v>
      </c>
      <c r="O19" s="59">
        <v>6000</v>
      </c>
      <c r="P19" s="59">
        <v>750</v>
      </c>
      <c r="Q19" s="59">
        <v>750</v>
      </c>
      <c r="R19" s="59">
        <v>750</v>
      </c>
      <c r="S19" s="59">
        <v>7500</v>
      </c>
      <c r="T19" s="59">
        <v>750</v>
      </c>
      <c r="U19" s="59">
        <v>6750</v>
      </c>
      <c r="V19" s="59">
        <v>750</v>
      </c>
      <c r="W19" s="59">
        <v>8250</v>
      </c>
      <c r="X19" s="59">
        <v>-1846.26</v>
      </c>
      <c r="Y19" s="59">
        <v>6403.74</v>
      </c>
      <c r="Z19">
        <v>750</v>
      </c>
      <c r="AA19">
        <v>750</v>
      </c>
      <c r="AB19">
        <v>750</v>
      </c>
      <c r="AC19">
        <v>1500</v>
      </c>
      <c r="AD19">
        <v>750</v>
      </c>
      <c r="AE19">
        <v>2250</v>
      </c>
      <c r="AF19" s="79">
        <v>750</v>
      </c>
      <c r="AG19" s="79">
        <v>3000</v>
      </c>
      <c r="AH19" s="79">
        <v>750</v>
      </c>
      <c r="AI19" s="79">
        <v>3750</v>
      </c>
      <c r="AJ19" s="79">
        <v>750</v>
      </c>
      <c r="AK19" s="79">
        <v>4500</v>
      </c>
      <c r="AL19" s="79">
        <v>750</v>
      </c>
      <c r="AM19" s="79">
        <v>5250</v>
      </c>
      <c r="AN19">
        <v>750</v>
      </c>
      <c r="AO19">
        <v>6750</v>
      </c>
      <c r="AP19" s="59">
        <v>750</v>
      </c>
      <c r="AQ19" s="59">
        <v>7500</v>
      </c>
      <c r="AR19" s="59">
        <v>750</v>
      </c>
      <c r="AS19" s="59">
        <v>8250</v>
      </c>
      <c r="AT19" s="59">
        <v>-3750.23</v>
      </c>
      <c r="AU19" s="59">
        <v>4499.7700000000004</v>
      </c>
      <c r="AV19" s="59">
        <v>750</v>
      </c>
      <c r="AW19" s="59">
        <v>750</v>
      </c>
      <c r="AX19" s="59">
        <v>750</v>
      </c>
      <c r="AY19" s="59">
        <v>1500</v>
      </c>
      <c r="AZ19" s="59">
        <v>750</v>
      </c>
      <c r="BA19" s="59">
        <v>2250</v>
      </c>
      <c r="BB19" s="59">
        <v>750</v>
      </c>
      <c r="BC19" s="59">
        <v>8250</v>
      </c>
    </row>
    <row r="20" spans="2:55" x14ac:dyDescent="0.25">
      <c r="B20" s="83" t="e">
        <f t="shared" ca="1" si="6"/>
        <v>#REF!</v>
      </c>
      <c r="C20" s="60" t="e">
        <f t="shared" ca="1" si="7"/>
        <v>#REF!</v>
      </c>
      <c r="D20" s="59" t="e">
        <f t="shared" ca="1" si="8"/>
        <v>#REF!</v>
      </c>
      <c r="E20" s="82" t="e">
        <f t="shared" si="4"/>
        <v>#N/A</v>
      </c>
      <c r="F20" s="60" t="e">
        <f t="shared" ca="1" si="11"/>
        <v>#N/A</v>
      </c>
      <c r="G20" s="59" t="e">
        <f t="shared" ca="1" si="9"/>
        <v>#REF!</v>
      </c>
      <c r="H20" s="82" t="e">
        <f t="shared" si="5"/>
        <v>#N/A</v>
      </c>
      <c r="I20" s="60" t="e">
        <f t="shared" ca="1" si="10"/>
        <v>#N/A</v>
      </c>
      <c r="J20" s="14" t="s">
        <v>9</v>
      </c>
      <c r="K20" s="1">
        <v>7102</v>
      </c>
      <c r="L20" s="59">
        <v>2901.04</v>
      </c>
      <c r="M20" s="59">
        <v>22427.62</v>
      </c>
      <c r="N20" s="59">
        <v>19658.02</v>
      </c>
      <c r="O20" s="59">
        <v>19526.580000000002</v>
      </c>
      <c r="P20" s="59">
        <v>3201.97</v>
      </c>
      <c r="Q20" s="59">
        <v>4018</v>
      </c>
      <c r="R20" s="59">
        <v>3670</v>
      </c>
      <c r="S20" s="59">
        <v>26097.62</v>
      </c>
      <c r="T20" s="59">
        <v>3073.71</v>
      </c>
      <c r="U20" s="59">
        <v>22731.73</v>
      </c>
      <c r="V20" s="59">
        <v>3378.99</v>
      </c>
      <c r="W20" s="59">
        <v>29476.61</v>
      </c>
      <c r="X20" s="59">
        <v>5059.79</v>
      </c>
      <c r="Y20" s="59">
        <v>34536.400000000001</v>
      </c>
      <c r="Z20">
        <v>2283.17</v>
      </c>
      <c r="AA20">
        <v>2283.17</v>
      </c>
      <c r="AB20">
        <v>1642.11</v>
      </c>
      <c r="AC20">
        <v>3925.28</v>
      </c>
      <c r="AD20">
        <v>1766.33</v>
      </c>
      <c r="AE20">
        <v>5691.61</v>
      </c>
      <c r="AF20" s="79">
        <v>1791.9</v>
      </c>
      <c r="AG20" s="79">
        <v>7483.51</v>
      </c>
      <c r="AH20" s="79">
        <v>2985.51</v>
      </c>
      <c r="AI20" s="79">
        <v>10469.02</v>
      </c>
      <c r="AJ20" s="79">
        <v>3078</v>
      </c>
      <c r="AK20" s="79">
        <v>13547.02</v>
      </c>
      <c r="AL20" s="79">
        <v>2093</v>
      </c>
      <c r="AM20" s="79">
        <v>15640.02</v>
      </c>
      <c r="AN20">
        <v>2901.04</v>
      </c>
      <c r="AO20">
        <v>22427.62</v>
      </c>
      <c r="AP20" s="59">
        <v>2798.67</v>
      </c>
      <c r="AQ20" s="59">
        <v>25530.400000000001</v>
      </c>
      <c r="AR20" s="59">
        <v>3124.88</v>
      </c>
      <c r="AS20" s="59">
        <v>28655.279999999999</v>
      </c>
      <c r="AT20" s="59">
        <v>3813.16</v>
      </c>
      <c r="AU20" s="59">
        <v>32468.44</v>
      </c>
      <c r="AV20" s="59">
        <v>3131.62</v>
      </c>
      <c r="AW20" s="59">
        <v>3131.62</v>
      </c>
      <c r="AX20" s="59">
        <v>2378.9</v>
      </c>
      <c r="AY20" s="59">
        <v>5510.52</v>
      </c>
      <c r="AZ20" s="59">
        <v>2300.5300000000002</v>
      </c>
      <c r="BA20" s="59">
        <v>7811.05</v>
      </c>
      <c r="BB20" s="59">
        <v>2763.88</v>
      </c>
      <c r="BC20" s="59">
        <v>29935.53</v>
      </c>
    </row>
    <row r="21" spans="2:55" x14ac:dyDescent="0.25">
      <c r="B21" s="83" t="e">
        <f t="shared" ca="1" si="6"/>
        <v>#REF!</v>
      </c>
      <c r="C21" s="60" t="e">
        <f t="shared" ca="1" si="7"/>
        <v>#REF!</v>
      </c>
      <c r="D21" s="59" t="e">
        <f t="shared" ca="1" si="8"/>
        <v>#REF!</v>
      </c>
      <c r="E21" s="82" t="e">
        <f t="shared" si="4"/>
        <v>#N/A</v>
      </c>
      <c r="F21" s="60" t="e">
        <f t="shared" ca="1" si="11"/>
        <v>#N/A</v>
      </c>
      <c r="G21" s="59" t="e">
        <f t="shared" ca="1" si="9"/>
        <v>#REF!</v>
      </c>
      <c r="H21" s="82" t="e">
        <f t="shared" si="5"/>
        <v>#N/A</v>
      </c>
      <c r="I21" s="60" t="e">
        <f t="shared" ca="1" si="10"/>
        <v>#N/A</v>
      </c>
      <c r="J21" s="14" t="s">
        <v>8</v>
      </c>
      <c r="K21" s="1">
        <v>7103</v>
      </c>
      <c r="L21" s="59">
        <v>283.93</v>
      </c>
      <c r="M21" s="59">
        <v>528.42999999999995</v>
      </c>
      <c r="N21" s="59">
        <v>0</v>
      </c>
      <c r="O21" s="59">
        <v>244.5</v>
      </c>
      <c r="P21" s="59">
        <v>0</v>
      </c>
      <c r="Q21" s="59">
        <v>0</v>
      </c>
      <c r="R21" s="59">
        <v>186.38</v>
      </c>
      <c r="S21" s="59">
        <v>714.81</v>
      </c>
      <c r="T21" s="59">
        <v>0</v>
      </c>
      <c r="U21" s="59">
        <v>0</v>
      </c>
      <c r="V21" s="59">
        <v>0</v>
      </c>
      <c r="W21" s="59">
        <v>714.81</v>
      </c>
      <c r="X21" s="59">
        <v>0</v>
      </c>
      <c r="Y21" s="59">
        <v>714.81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 s="79">
        <v>0</v>
      </c>
      <c r="AG21" s="79">
        <v>0</v>
      </c>
      <c r="AH21" s="79">
        <v>0</v>
      </c>
      <c r="AI21" s="79">
        <v>0</v>
      </c>
      <c r="AJ21" s="79">
        <v>0</v>
      </c>
      <c r="AK21" s="79">
        <v>0</v>
      </c>
      <c r="AL21" s="79">
        <v>0</v>
      </c>
      <c r="AM21" s="79">
        <v>0</v>
      </c>
      <c r="AN21">
        <v>283.93</v>
      </c>
      <c r="AO21">
        <v>528.42999999999995</v>
      </c>
      <c r="AP21" s="59">
        <v>255.37</v>
      </c>
      <c r="AQ21" s="59">
        <v>255.37</v>
      </c>
      <c r="AR21" s="59">
        <v>0</v>
      </c>
      <c r="AS21" s="59">
        <v>255.37</v>
      </c>
      <c r="AT21" s="59">
        <v>0</v>
      </c>
      <c r="AU21" s="59">
        <v>255.37</v>
      </c>
      <c r="AV21" s="59">
        <v>194.45</v>
      </c>
      <c r="AW21" s="59">
        <v>194.45</v>
      </c>
      <c r="AX21" s="59">
        <v>0</v>
      </c>
      <c r="AY21" s="59">
        <v>194.45</v>
      </c>
      <c r="AZ21" s="59">
        <v>0</v>
      </c>
      <c r="BA21" s="59">
        <v>194.45</v>
      </c>
      <c r="BB21" s="59">
        <v>0</v>
      </c>
      <c r="BC21" s="59">
        <v>1038.4100000000001</v>
      </c>
    </row>
    <row r="22" spans="2:55" x14ac:dyDescent="0.25">
      <c r="B22" s="83" t="e">
        <f t="shared" ca="1" si="6"/>
        <v>#REF!</v>
      </c>
      <c r="C22" s="60" t="e">
        <f t="shared" ca="1" si="7"/>
        <v>#REF!</v>
      </c>
      <c r="D22" s="59" t="e">
        <f t="shared" ca="1" si="8"/>
        <v>#REF!</v>
      </c>
      <c r="E22" s="82" t="e">
        <f t="shared" si="4"/>
        <v>#N/A</v>
      </c>
      <c r="F22" s="60" t="e">
        <f t="shared" ca="1" si="11"/>
        <v>#N/A</v>
      </c>
      <c r="G22" s="59" t="e">
        <f t="shared" ca="1" si="9"/>
        <v>#REF!</v>
      </c>
      <c r="H22" s="82" t="e">
        <f t="shared" si="5"/>
        <v>#N/A</v>
      </c>
      <c r="I22" s="60" t="e">
        <f t="shared" ca="1" si="10"/>
        <v>#N/A</v>
      </c>
      <c r="J22" s="14" t="s">
        <v>10</v>
      </c>
      <c r="K22" s="1">
        <v>7105</v>
      </c>
      <c r="L22" s="59">
        <v>1321.78</v>
      </c>
      <c r="M22" s="59">
        <v>6142.66</v>
      </c>
      <c r="N22" s="59">
        <v>6332.98</v>
      </c>
      <c r="O22" s="59">
        <v>4820.88</v>
      </c>
      <c r="P22" s="59">
        <v>410.81</v>
      </c>
      <c r="Q22" s="59">
        <v>294.23</v>
      </c>
      <c r="R22" s="59">
        <v>678.85</v>
      </c>
      <c r="S22" s="59">
        <v>6821.51</v>
      </c>
      <c r="T22" s="59">
        <v>1810.67</v>
      </c>
      <c r="U22" s="59">
        <v>8143.6500000000015</v>
      </c>
      <c r="V22" s="59">
        <v>984.21</v>
      </c>
      <c r="W22" s="59">
        <v>7805.72</v>
      </c>
      <c r="X22" s="59">
        <v>1140.8800000000001</v>
      </c>
      <c r="Y22" s="59">
        <v>8946.6</v>
      </c>
      <c r="Z22">
        <v>1356.94</v>
      </c>
      <c r="AA22">
        <v>1356.94</v>
      </c>
      <c r="AB22">
        <v>922.37</v>
      </c>
      <c r="AC22">
        <v>2279.31</v>
      </c>
      <c r="AD22">
        <v>252.02</v>
      </c>
      <c r="AE22">
        <v>2531.33</v>
      </c>
      <c r="AF22" s="79">
        <v>888.88</v>
      </c>
      <c r="AG22" s="79">
        <v>3420.21</v>
      </c>
      <c r="AH22" s="79">
        <v>484.57</v>
      </c>
      <c r="AI22" s="79">
        <v>3904.78</v>
      </c>
      <c r="AJ22" s="79">
        <v>1414.84</v>
      </c>
      <c r="AK22" s="79">
        <v>5319.62</v>
      </c>
      <c r="AL22" s="79">
        <v>719.03</v>
      </c>
      <c r="AM22" s="79">
        <v>6038.75</v>
      </c>
      <c r="AN22">
        <v>1321.78</v>
      </c>
      <c r="AO22">
        <v>6142.66</v>
      </c>
      <c r="AP22" s="59">
        <v>490.58</v>
      </c>
      <c r="AQ22" s="59">
        <v>8634.23</v>
      </c>
      <c r="AR22" s="59">
        <v>1081.77</v>
      </c>
      <c r="AS22" s="59">
        <v>9716</v>
      </c>
      <c r="AT22" s="59">
        <v>687.16</v>
      </c>
      <c r="AU22" s="59">
        <v>10403.16</v>
      </c>
      <c r="AV22" s="59">
        <v>982.83</v>
      </c>
      <c r="AW22" s="59">
        <v>982.83</v>
      </c>
      <c r="AX22" s="59">
        <v>1054.33</v>
      </c>
      <c r="AY22" s="59">
        <v>2037.16</v>
      </c>
      <c r="AZ22" s="59">
        <v>253.22</v>
      </c>
      <c r="BA22" s="59">
        <v>2290.38</v>
      </c>
      <c r="BB22" s="59">
        <v>1373.2</v>
      </c>
      <c r="BC22" s="59">
        <v>10143.92</v>
      </c>
    </row>
    <row r="23" spans="2:55" x14ac:dyDescent="0.25">
      <c r="B23" s="83" t="e">
        <f t="shared" ca="1" si="6"/>
        <v>#REF!</v>
      </c>
      <c r="C23" s="60" t="e">
        <f t="shared" ca="1" si="7"/>
        <v>#REF!</v>
      </c>
      <c r="D23" s="59" t="e">
        <f t="shared" ca="1" si="8"/>
        <v>#REF!</v>
      </c>
      <c r="E23" s="82" t="e">
        <f t="shared" si="4"/>
        <v>#N/A</v>
      </c>
      <c r="F23" s="60" t="e">
        <f t="shared" ca="1" si="11"/>
        <v>#N/A</v>
      </c>
      <c r="G23" s="59" t="e">
        <f t="shared" ca="1" si="9"/>
        <v>#REF!</v>
      </c>
      <c r="H23" s="82" t="e">
        <f t="shared" si="5"/>
        <v>#N/A</v>
      </c>
      <c r="I23" s="60" t="e">
        <f t="shared" ca="1" si="10"/>
        <v>#N/A</v>
      </c>
      <c r="J23" s="14" t="s">
        <v>13</v>
      </c>
      <c r="K23" s="1">
        <v>7200</v>
      </c>
      <c r="L23" s="59">
        <v>150</v>
      </c>
      <c r="M23" s="59">
        <v>1350</v>
      </c>
      <c r="N23" s="59">
        <v>280</v>
      </c>
      <c r="O23" s="59">
        <v>1200</v>
      </c>
      <c r="P23" s="59">
        <v>150</v>
      </c>
      <c r="Q23" s="59">
        <v>35</v>
      </c>
      <c r="R23" s="59">
        <v>150</v>
      </c>
      <c r="S23" s="59">
        <v>1500</v>
      </c>
      <c r="T23" s="59">
        <v>35</v>
      </c>
      <c r="U23" s="59">
        <v>315</v>
      </c>
      <c r="V23" s="59">
        <v>150</v>
      </c>
      <c r="W23" s="59">
        <v>1650</v>
      </c>
      <c r="X23" s="59">
        <v>150</v>
      </c>
      <c r="Y23" s="59">
        <v>1800</v>
      </c>
      <c r="Z23">
        <v>35</v>
      </c>
      <c r="AA23">
        <v>35</v>
      </c>
      <c r="AB23">
        <v>35</v>
      </c>
      <c r="AC23">
        <v>70</v>
      </c>
      <c r="AD23">
        <v>35</v>
      </c>
      <c r="AE23">
        <v>105</v>
      </c>
      <c r="AF23" s="79">
        <v>35</v>
      </c>
      <c r="AG23" s="79">
        <v>140</v>
      </c>
      <c r="AH23" s="79">
        <v>35</v>
      </c>
      <c r="AI23" s="79">
        <v>175</v>
      </c>
      <c r="AJ23" s="79">
        <v>35</v>
      </c>
      <c r="AK23" s="79">
        <v>210</v>
      </c>
      <c r="AL23" s="79">
        <v>35</v>
      </c>
      <c r="AM23" s="79">
        <v>245</v>
      </c>
      <c r="AN23">
        <v>150</v>
      </c>
      <c r="AO23">
        <v>1350</v>
      </c>
      <c r="AP23" s="59">
        <v>35</v>
      </c>
      <c r="AQ23" s="59">
        <v>350</v>
      </c>
      <c r="AR23" s="59">
        <v>35</v>
      </c>
      <c r="AS23" s="59">
        <v>385</v>
      </c>
      <c r="AT23" s="59">
        <v>-385</v>
      </c>
      <c r="AU23" s="59">
        <v>0</v>
      </c>
      <c r="AV23" s="59">
        <v>35</v>
      </c>
      <c r="AW23" s="59">
        <v>35</v>
      </c>
      <c r="AX23" s="59">
        <v>35</v>
      </c>
      <c r="AY23" s="59">
        <v>70</v>
      </c>
      <c r="AZ23" s="59">
        <v>35</v>
      </c>
      <c r="BA23" s="59">
        <v>105</v>
      </c>
      <c r="BB23" s="59">
        <v>0</v>
      </c>
      <c r="BC23" s="59">
        <v>105</v>
      </c>
    </row>
    <row r="24" spans="2:55" x14ac:dyDescent="0.25">
      <c r="B24" s="83" t="e">
        <f t="shared" ca="1" si="6"/>
        <v>#REF!</v>
      </c>
      <c r="C24" s="60" t="e">
        <f t="shared" ca="1" si="7"/>
        <v>#REF!</v>
      </c>
      <c r="D24" s="59" t="e">
        <f t="shared" ca="1" si="8"/>
        <v>#REF!</v>
      </c>
      <c r="E24" s="82" t="e">
        <f t="shared" si="4"/>
        <v>#N/A</v>
      </c>
      <c r="F24" s="60" t="e">
        <f t="shared" ca="1" si="11"/>
        <v>#N/A</v>
      </c>
      <c r="G24" s="59" t="e">
        <f t="shared" ca="1" si="9"/>
        <v>#REF!</v>
      </c>
      <c r="H24" s="82" t="e">
        <f t="shared" si="5"/>
        <v>#N/A</v>
      </c>
      <c r="I24" s="60" t="e">
        <f t="shared" ca="1" si="10"/>
        <v>#N/A</v>
      </c>
      <c r="J24" s="14" t="s">
        <v>14</v>
      </c>
      <c r="K24" s="1">
        <v>7202</v>
      </c>
      <c r="L24" s="59">
        <v>950</v>
      </c>
      <c r="M24" s="59">
        <v>8550</v>
      </c>
      <c r="N24" s="59">
        <v>7360</v>
      </c>
      <c r="O24" s="59">
        <v>7600</v>
      </c>
      <c r="P24" s="59">
        <v>950</v>
      </c>
      <c r="Q24" s="59">
        <v>920</v>
      </c>
      <c r="R24" s="59">
        <v>950</v>
      </c>
      <c r="S24" s="59">
        <v>9500</v>
      </c>
      <c r="T24" s="59">
        <v>920</v>
      </c>
      <c r="U24" s="59">
        <v>8280</v>
      </c>
      <c r="V24" s="59">
        <v>950</v>
      </c>
      <c r="W24" s="59">
        <v>10450</v>
      </c>
      <c r="X24" s="59">
        <v>-489.25</v>
      </c>
      <c r="Y24" s="59">
        <v>9960.75</v>
      </c>
      <c r="Z24">
        <v>920</v>
      </c>
      <c r="AA24">
        <v>920</v>
      </c>
      <c r="AB24">
        <v>920</v>
      </c>
      <c r="AC24">
        <v>1840</v>
      </c>
      <c r="AD24">
        <v>920</v>
      </c>
      <c r="AE24">
        <v>2760</v>
      </c>
      <c r="AF24" s="79">
        <v>920</v>
      </c>
      <c r="AG24" s="79">
        <v>3680</v>
      </c>
      <c r="AH24" s="79">
        <v>920</v>
      </c>
      <c r="AI24" s="79">
        <v>4600</v>
      </c>
      <c r="AJ24" s="79">
        <v>920</v>
      </c>
      <c r="AK24" s="79">
        <v>5520</v>
      </c>
      <c r="AL24" s="79">
        <v>920</v>
      </c>
      <c r="AM24" s="79">
        <v>6440</v>
      </c>
      <c r="AN24">
        <v>950</v>
      </c>
      <c r="AO24">
        <v>8550</v>
      </c>
      <c r="AP24" s="59">
        <v>920</v>
      </c>
      <c r="AQ24" s="59">
        <v>9200</v>
      </c>
      <c r="AR24" s="59">
        <v>920</v>
      </c>
      <c r="AS24" s="59">
        <v>10120</v>
      </c>
      <c r="AT24" s="59">
        <v>-1707.94</v>
      </c>
      <c r="AU24" s="59">
        <v>8412.06</v>
      </c>
      <c r="AV24" s="59">
        <v>920</v>
      </c>
      <c r="AW24" s="59">
        <v>920</v>
      </c>
      <c r="AX24" s="59">
        <v>920</v>
      </c>
      <c r="AY24" s="59">
        <v>1840</v>
      </c>
      <c r="AZ24" s="59">
        <v>920</v>
      </c>
      <c r="BA24" s="59">
        <v>2760</v>
      </c>
      <c r="BB24" s="59">
        <v>920</v>
      </c>
      <c r="BC24" s="59">
        <v>10120</v>
      </c>
    </row>
    <row r="25" spans="2:55" x14ac:dyDescent="0.25">
      <c r="B25" s="83" t="e">
        <f t="shared" ca="1" si="6"/>
        <v>#REF!</v>
      </c>
      <c r="C25" s="60" t="e">
        <f t="shared" ca="1" si="7"/>
        <v>#REF!</v>
      </c>
      <c r="D25" s="59" t="e">
        <f t="shared" ca="1" si="8"/>
        <v>#REF!</v>
      </c>
      <c r="E25" s="82" t="e">
        <f t="shared" si="4"/>
        <v>#N/A</v>
      </c>
      <c r="F25" s="60" t="e">
        <f t="shared" ca="1" si="11"/>
        <v>#N/A</v>
      </c>
      <c r="G25" s="59" t="e">
        <f t="shared" ca="1" si="9"/>
        <v>#REF!</v>
      </c>
      <c r="H25" s="82" t="e">
        <f t="shared" si="5"/>
        <v>#N/A</v>
      </c>
      <c r="I25" s="60" t="e">
        <f t="shared" ca="1" si="10"/>
        <v>#N/A</v>
      </c>
      <c r="J25" s="14" t="s">
        <v>15</v>
      </c>
      <c r="K25" s="1">
        <v>7204</v>
      </c>
      <c r="L25" s="59">
        <v>7025</v>
      </c>
      <c r="M25" s="59">
        <v>63225</v>
      </c>
      <c r="N25" s="59">
        <v>60000</v>
      </c>
      <c r="O25" s="59">
        <v>56200</v>
      </c>
      <c r="P25" s="59">
        <v>7025</v>
      </c>
      <c r="Q25" s="59">
        <v>7500</v>
      </c>
      <c r="R25" s="59">
        <v>7025</v>
      </c>
      <c r="S25" s="59">
        <v>70250</v>
      </c>
      <c r="T25" s="59">
        <v>7500</v>
      </c>
      <c r="U25" s="59">
        <v>67500</v>
      </c>
      <c r="V25" s="59">
        <v>7025</v>
      </c>
      <c r="W25" s="59">
        <v>77275</v>
      </c>
      <c r="X25" s="59">
        <v>8955.4</v>
      </c>
      <c r="Y25" s="59">
        <v>86230.399999999994</v>
      </c>
      <c r="Z25">
        <v>7500</v>
      </c>
      <c r="AA25">
        <v>7500</v>
      </c>
      <c r="AB25">
        <v>7500</v>
      </c>
      <c r="AC25">
        <v>15000</v>
      </c>
      <c r="AD25">
        <v>7500</v>
      </c>
      <c r="AE25">
        <v>22500</v>
      </c>
      <c r="AF25" s="79">
        <v>7500</v>
      </c>
      <c r="AG25" s="79">
        <v>30000</v>
      </c>
      <c r="AH25" s="79">
        <v>7500</v>
      </c>
      <c r="AI25" s="79">
        <v>37500</v>
      </c>
      <c r="AJ25" s="79">
        <v>7500</v>
      </c>
      <c r="AK25" s="79">
        <v>45000</v>
      </c>
      <c r="AL25" s="79">
        <v>7500</v>
      </c>
      <c r="AM25" s="79">
        <v>52500</v>
      </c>
      <c r="AN25">
        <v>7025</v>
      </c>
      <c r="AO25">
        <v>63225</v>
      </c>
      <c r="AP25" s="59">
        <v>7500</v>
      </c>
      <c r="AQ25" s="59">
        <v>75000</v>
      </c>
      <c r="AR25" s="59">
        <v>7500</v>
      </c>
      <c r="AS25" s="59">
        <v>82500</v>
      </c>
      <c r="AT25" s="59">
        <v>1504.79</v>
      </c>
      <c r="AU25" s="59">
        <v>84004.79</v>
      </c>
      <c r="AV25" s="59">
        <v>7500</v>
      </c>
      <c r="AW25" s="59">
        <v>7500</v>
      </c>
      <c r="AX25" s="59">
        <v>8511.15</v>
      </c>
      <c r="AY25" s="59">
        <v>16011.15</v>
      </c>
      <c r="AZ25" s="59">
        <v>7500</v>
      </c>
      <c r="BA25" s="59">
        <v>23511.15</v>
      </c>
      <c r="BB25" s="59">
        <v>7500</v>
      </c>
      <c r="BC25" s="59">
        <v>83511.149999999994</v>
      </c>
    </row>
    <row r="26" spans="2:55" x14ac:dyDescent="0.25">
      <c r="B26" s="83" t="e">
        <f t="shared" ca="1" si="6"/>
        <v>#REF!</v>
      </c>
      <c r="C26" s="60" t="e">
        <f t="shared" ca="1" si="7"/>
        <v>#REF!</v>
      </c>
      <c r="D26" s="59" t="e">
        <f t="shared" ca="1" si="8"/>
        <v>#REF!</v>
      </c>
      <c r="E26" s="82" t="e">
        <f t="shared" si="4"/>
        <v>#N/A</v>
      </c>
      <c r="F26" s="60" t="e">
        <f t="shared" ca="1" si="11"/>
        <v>#N/A</v>
      </c>
      <c r="G26" s="59" t="e">
        <f t="shared" ca="1" si="9"/>
        <v>#REF!</v>
      </c>
      <c r="H26" s="82" t="e">
        <f t="shared" si="5"/>
        <v>#N/A</v>
      </c>
      <c r="I26" s="60" t="e">
        <f t="shared" ca="1" si="10"/>
        <v>#N/A</v>
      </c>
      <c r="J26" s="14" t="s">
        <v>16</v>
      </c>
      <c r="K26" s="1">
        <v>7206</v>
      </c>
      <c r="L26" s="59">
        <v>1334.04</v>
      </c>
      <c r="M26" s="59">
        <v>13015.92</v>
      </c>
      <c r="N26" s="59">
        <v>10824.84</v>
      </c>
      <c r="O26" s="59">
        <v>11681.88</v>
      </c>
      <c r="P26" s="59">
        <v>1334.04</v>
      </c>
      <c r="Q26" s="59">
        <v>1331.01</v>
      </c>
      <c r="R26" s="59">
        <v>1334.04</v>
      </c>
      <c r="S26" s="59">
        <v>14349.96</v>
      </c>
      <c r="T26" s="59">
        <v>1331.01</v>
      </c>
      <c r="U26" s="59">
        <v>12155.85</v>
      </c>
      <c r="V26" s="59">
        <v>1903.04</v>
      </c>
      <c r="W26" s="59">
        <v>16253</v>
      </c>
      <c r="X26" s="59">
        <v>1334.04</v>
      </c>
      <c r="Y26" s="59">
        <v>17587.04</v>
      </c>
      <c r="Z26">
        <v>1334.04</v>
      </c>
      <c r="AA26">
        <v>1334.04</v>
      </c>
      <c r="AB26">
        <v>1504.74</v>
      </c>
      <c r="AC26">
        <v>2838.78</v>
      </c>
      <c r="AD26">
        <v>1331.01</v>
      </c>
      <c r="AE26">
        <v>4169.79</v>
      </c>
      <c r="AF26" s="79">
        <v>1331.01</v>
      </c>
      <c r="AG26" s="79">
        <v>5500.8</v>
      </c>
      <c r="AH26" s="79">
        <v>1331.01</v>
      </c>
      <c r="AI26" s="79">
        <v>6831.81</v>
      </c>
      <c r="AJ26" s="79">
        <v>1331.01</v>
      </c>
      <c r="AK26" s="79">
        <v>8162.82</v>
      </c>
      <c r="AL26" s="79">
        <v>1331.01</v>
      </c>
      <c r="AM26" s="79">
        <v>9493.83</v>
      </c>
      <c r="AN26">
        <v>1334.04</v>
      </c>
      <c r="AO26">
        <v>13015.92</v>
      </c>
      <c r="AP26" s="59">
        <v>1331.01</v>
      </c>
      <c r="AQ26" s="59">
        <v>13486.86</v>
      </c>
      <c r="AR26" s="59">
        <v>1900.01</v>
      </c>
      <c r="AS26" s="59">
        <v>15386.87</v>
      </c>
      <c r="AT26" s="59">
        <v>1331.01</v>
      </c>
      <c r="AU26" s="59">
        <v>16717.88</v>
      </c>
      <c r="AV26" s="59">
        <v>1331.01</v>
      </c>
      <c r="AW26" s="59">
        <v>1331.01</v>
      </c>
      <c r="AX26" s="59">
        <v>1331.01</v>
      </c>
      <c r="AY26" s="59">
        <v>2662.02</v>
      </c>
      <c r="AZ26" s="59">
        <v>1331.01</v>
      </c>
      <c r="BA26" s="59">
        <v>3993.03</v>
      </c>
      <c r="BB26" s="59">
        <v>3013.45</v>
      </c>
      <c r="BC26" s="59">
        <v>16310.95</v>
      </c>
    </row>
    <row r="27" spans="2:55" x14ac:dyDescent="0.25">
      <c r="B27" s="83" t="e">
        <f t="shared" ca="1" si="6"/>
        <v>#REF!</v>
      </c>
      <c r="C27" s="60" t="e">
        <f t="shared" ca="1" si="7"/>
        <v>#REF!</v>
      </c>
      <c r="D27" s="59" t="e">
        <f t="shared" ca="1" si="8"/>
        <v>#REF!</v>
      </c>
      <c r="E27" s="82" t="e">
        <f t="shared" si="4"/>
        <v>#N/A</v>
      </c>
      <c r="F27" s="60" t="e">
        <f t="shared" ca="1" si="11"/>
        <v>#N/A</v>
      </c>
      <c r="G27" s="59" t="e">
        <f t="shared" ca="1" si="9"/>
        <v>#REF!</v>
      </c>
      <c r="H27" s="82" t="e">
        <f t="shared" si="5"/>
        <v>#N/A</v>
      </c>
      <c r="I27" s="60" t="e">
        <f t="shared" ca="1" si="10"/>
        <v>#N/A</v>
      </c>
      <c r="J27" s="14" t="s">
        <v>23</v>
      </c>
      <c r="K27" s="1">
        <v>7906</v>
      </c>
      <c r="L27" s="59">
        <v>0</v>
      </c>
      <c r="M27" s="59">
        <v>0</v>
      </c>
      <c r="N27" s="59">
        <v>0</v>
      </c>
      <c r="O27" s="59">
        <v>0</v>
      </c>
      <c r="P27" s="59">
        <v>0</v>
      </c>
      <c r="Q27" s="59">
        <v>0</v>
      </c>
      <c r="R27" s="59">
        <v>0</v>
      </c>
      <c r="S27" s="59">
        <v>0</v>
      </c>
      <c r="T27" s="59">
        <v>0</v>
      </c>
      <c r="U27" s="59">
        <v>0</v>
      </c>
      <c r="V27" s="59">
        <v>0</v>
      </c>
      <c r="W27" s="59">
        <v>0</v>
      </c>
      <c r="X27" s="59">
        <v>160.41999999999999</v>
      </c>
      <c r="Y27" s="59">
        <v>160.41999999999999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 s="79">
        <v>0</v>
      </c>
      <c r="AG27" s="79">
        <v>0</v>
      </c>
      <c r="AH27" s="79">
        <v>0</v>
      </c>
      <c r="AI27" s="79">
        <v>0</v>
      </c>
      <c r="AJ27" s="79">
        <v>0</v>
      </c>
      <c r="AK27" s="79">
        <f>'[1]MGT PnL MAR13'!AP30+'[1]MGT PnL JUN14'!AN30</f>
        <v>0</v>
      </c>
      <c r="AL27" s="79">
        <v>0</v>
      </c>
      <c r="AM27" s="79">
        <v>0</v>
      </c>
      <c r="AN27">
        <v>0</v>
      </c>
      <c r="AO27">
        <v>0</v>
      </c>
      <c r="AP27" s="59">
        <v>0</v>
      </c>
      <c r="AQ27" s="59">
        <v>0</v>
      </c>
      <c r="AR27" s="59">
        <v>0</v>
      </c>
      <c r="AS27" s="59">
        <v>0</v>
      </c>
      <c r="AT27" s="59">
        <v>0</v>
      </c>
      <c r="AU27" s="59">
        <v>0</v>
      </c>
      <c r="AV27" s="59">
        <v>0</v>
      </c>
      <c r="AW27" s="59">
        <v>0</v>
      </c>
      <c r="AX27" s="59">
        <v>0</v>
      </c>
      <c r="AY27" s="59">
        <v>0</v>
      </c>
      <c r="AZ27" s="59">
        <v>0</v>
      </c>
      <c r="BA27" s="59">
        <v>0</v>
      </c>
      <c r="BB27" s="59">
        <v>0</v>
      </c>
      <c r="BC27" s="59">
        <v>0</v>
      </c>
    </row>
    <row r="28" spans="2:55" x14ac:dyDescent="0.25">
      <c r="B28" s="83" t="e">
        <f t="shared" ca="1" si="6"/>
        <v>#REF!</v>
      </c>
      <c r="C28" s="60" t="e">
        <f t="shared" ca="1" si="7"/>
        <v>#REF!</v>
      </c>
      <c r="D28" s="59" t="e">
        <f t="shared" ca="1" si="8"/>
        <v>#REF!</v>
      </c>
      <c r="E28" s="82" t="e">
        <f t="shared" si="4"/>
        <v>#N/A</v>
      </c>
      <c r="F28" s="60" t="e">
        <f t="shared" ca="1" si="11"/>
        <v>#N/A</v>
      </c>
      <c r="G28" s="59" t="e">
        <f t="shared" ca="1" si="9"/>
        <v>#REF!</v>
      </c>
      <c r="H28" s="82" t="e">
        <f t="shared" si="5"/>
        <v>#N/A</v>
      </c>
      <c r="I28" s="60" t="e">
        <f t="shared" ca="1" si="10"/>
        <v>#N/A</v>
      </c>
      <c r="J28" s="14" t="s">
        <v>19</v>
      </c>
      <c r="K28" s="1">
        <v>8100</v>
      </c>
      <c r="L28" s="59">
        <v>0</v>
      </c>
      <c r="M28" s="59">
        <v>-5872.04</v>
      </c>
      <c r="N28" s="59">
        <v>-118.5</v>
      </c>
      <c r="O28" s="59">
        <v>-5872.04</v>
      </c>
      <c r="P28" s="59">
        <v>0</v>
      </c>
      <c r="Q28" s="59">
        <v>0</v>
      </c>
      <c r="R28" s="59">
        <v>0</v>
      </c>
      <c r="S28" s="59">
        <v>-5872.04</v>
      </c>
      <c r="T28" s="59">
        <v>0</v>
      </c>
      <c r="U28" s="59">
        <v>-118.5</v>
      </c>
      <c r="V28" s="59">
        <v>0</v>
      </c>
      <c r="W28" s="59">
        <v>-5872.04</v>
      </c>
      <c r="X28" s="59">
        <v>2322.25</v>
      </c>
      <c r="Y28" s="59">
        <v>-3549.79</v>
      </c>
      <c r="Z28">
        <v>0</v>
      </c>
      <c r="AA28">
        <v>0</v>
      </c>
      <c r="AB28">
        <v>0</v>
      </c>
      <c r="AC28">
        <v>0</v>
      </c>
      <c r="AD28">
        <v>-118.5</v>
      </c>
      <c r="AE28">
        <v>-118.5</v>
      </c>
      <c r="AF28" s="79">
        <v>0</v>
      </c>
      <c r="AG28" s="79">
        <v>-118.5</v>
      </c>
      <c r="AH28" s="79">
        <v>0</v>
      </c>
      <c r="AI28" s="79">
        <v>-118.5</v>
      </c>
      <c r="AJ28" s="79">
        <v>0</v>
      </c>
      <c r="AK28" s="79">
        <v>-118.5</v>
      </c>
      <c r="AL28" s="79">
        <v>0</v>
      </c>
      <c r="AM28" s="79">
        <v>-118.5</v>
      </c>
      <c r="AN28">
        <v>0</v>
      </c>
      <c r="AO28">
        <v>-5872.04</v>
      </c>
      <c r="AP28" s="59">
        <v>121.26</v>
      </c>
      <c r="AQ28" s="59">
        <v>2.7600000000000051</v>
      </c>
      <c r="AR28" s="59">
        <v>0</v>
      </c>
      <c r="AS28" s="59">
        <v>2.7600000000000051</v>
      </c>
      <c r="AT28" s="59">
        <v>779.98</v>
      </c>
      <c r="AU28" s="59">
        <v>782.74</v>
      </c>
      <c r="AV28" s="59">
        <v>0</v>
      </c>
      <c r="AW28" s="59">
        <v>0</v>
      </c>
      <c r="AX28" s="59">
        <v>0</v>
      </c>
      <c r="AY28" s="59">
        <v>0</v>
      </c>
      <c r="AZ28" s="59">
        <v>10.050000000000001</v>
      </c>
      <c r="BA28" s="59">
        <v>10.050000000000001</v>
      </c>
      <c r="BB28" s="59">
        <v>0.02</v>
      </c>
      <c r="BC28" s="59">
        <v>1.21</v>
      </c>
    </row>
    <row r="29" spans="2:55" x14ac:dyDescent="0.25">
      <c r="B29" s="83" t="e">
        <f t="shared" ca="1" si="6"/>
        <v>#REF!</v>
      </c>
      <c r="C29" s="60" t="e">
        <f t="shared" ca="1" si="7"/>
        <v>#REF!</v>
      </c>
      <c r="D29" s="59" t="e">
        <f t="shared" ca="1" si="8"/>
        <v>#REF!</v>
      </c>
      <c r="E29" s="82" t="e">
        <f t="shared" si="4"/>
        <v>#N/A</v>
      </c>
      <c r="F29" s="60" t="e">
        <f t="shared" ca="1" si="11"/>
        <v>#N/A</v>
      </c>
      <c r="G29" s="59" t="e">
        <f t="shared" ca="1" si="9"/>
        <v>#REF!</v>
      </c>
      <c r="H29" s="82" t="e">
        <f t="shared" si="5"/>
        <v>#N/A</v>
      </c>
      <c r="I29" s="60" t="e">
        <f t="shared" ca="1" si="10"/>
        <v>#N/A</v>
      </c>
      <c r="J29" s="14" t="s">
        <v>20</v>
      </c>
      <c r="K29" s="1">
        <v>8200</v>
      </c>
      <c r="L29" s="59">
        <v>300</v>
      </c>
      <c r="M29" s="59">
        <v>2700</v>
      </c>
      <c r="N29" s="59">
        <v>2400</v>
      </c>
      <c r="O29" s="59">
        <v>2400</v>
      </c>
      <c r="P29" s="59">
        <v>300</v>
      </c>
      <c r="Q29" s="59">
        <v>300</v>
      </c>
      <c r="R29" s="59">
        <v>300</v>
      </c>
      <c r="S29" s="59">
        <v>3000</v>
      </c>
      <c r="T29" s="59">
        <v>300</v>
      </c>
      <c r="U29" s="59">
        <v>2700</v>
      </c>
      <c r="V29" s="59">
        <v>300</v>
      </c>
      <c r="W29" s="59">
        <v>3300</v>
      </c>
      <c r="X29" s="59">
        <f>3900-3600</f>
        <v>300</v>
      </c>
      <c r="Y29" s="59">
        <v>3600</v>
      </c>
      <c r="Z29">
        <v>300</v>
      </c>
      <c r="AA29">
        <v>300</v>
      </c>
      <c r="AB29">
        <v>300</v>
      </c>
      <c r="AC29">
        <v>600</v>
      </c>
      <c r="AD29">
        <v>300</v>
      </c>
      <c r="AE29">
        <v>900</v>
      </c>
      <c r="AF29" s="79">
        <v>300</v>
      </c>
      <c r="AG29" s="79">
        <v>1200</v>
      </c>
      <c r="AH29" s="79">
        <v>300</v>
      </c>
      <c r="AI29" s="79">
        <v>1500</v>
      </c>
      <c r="AJ29" s="79">
        <v>300</v>
      </c>
      <c r="AK29" s="79">
        <v>1800</v>
      </c>
      <c r="AL29" s="79">
        <v>300</v>
      </c>
      <c r="AM29" s="79">
        <v>2100</v>
      </c>
      <c r="AN29">
        <v>300</v>
      </c>
      <c r="AO29">
        <v>2700</v>
      </c>
      <c r="AP29" s="59">
        <v>300</v>
      </c>
      <c r="AQ29" s="59">
        <v>3000</v>
      </c>
      <c r="AR29" s="59">
        <v>300</v>
      </c>
      <c r="AS29" s="59">
        <v>3300</v>
      </c>
      <c r="AT29" s="59">
        <v>480</v>
      </c>
      <c r="AU29" s="59">
        <v>3780</v>
      </c>
      <c r="AV29" s="59">
        <v>300</v>
      </c>
      <c r="AW29" s="59">
        <v>300</v>
      </c>
      <c r="AX29" s="59">
        <v>300</v>
      </c>
      <c r="AY29" s="59">
        <v>600</v>
      </c>
      <c r="AZ29" s="59">
        <v>300</v>
      </c>
      <c r="BA29" s="59">
        <v>900</v>
      </c>
      <c r="BB29" s="59">
        <v>300</v>
      </c>
      <c r="BC29" s="59">
        <v>3300</v>
      </c>
    </row>
    <row r="30" spans="2:55" x14ac:dyDescent="0.25">
      <c r="B30" s="83" t="e">
        <f t="shared" ca="1" si="6"/>
        <v>#REF!</v>
      </c>
      <c r="C30" s="60" t="e">
        <f t="shared" ca="1" si="7"/>
        <v>#REF!</v>
      </c>
      <c r="D30" s="59" t="e">
        <f t="shared" ca="1" si="8"/>
        <v>#REF!</v>
      </c>
      <c r="E30" s="82" t="e">
        <f t="shared" si="4"/>
        <v>#N/A</v>
      </c>
      <c r="F30" s="60" t="e">
        <f t="shared" ca="1" si="11"/>
        <v>#N/A</v>
      </c>
      <c r="G30" s="59" t="e">
        <f t="shared" ca="1" si="9"/>
        <v>#REF!</v>
      </c>
      <c r="H30" s="82" t="e">
        <f t="shared" si="5"/>
        <v>#N/A</v>
      </c>
      <c r="I30" s="60" t="e">
        <f t="shared" ca="1" si="10"/>
        <v>#N/A</v>
      </c>
      <c r="J30" s="14" t="s">
        <v>28</v>
      </c>
      <c r="K30" s="1">
        <v>8201</v>
      </c>
      <c r="L30" s="59">
        <v>0</v>
      </c>
      <c r="M30" s="59">
        <v>0</v>
      </c>
      <c r="N30" s="59">
        <v>0</v>
      </c>
      <c r="O30" s="59">
        <v>0</v>
      </c>
      <c r="P30" s="59">
        <v>0</v>
      </c>
      <c r="Q30" s="59">
        <v>0</v>
      </c>
      <c r="R30" s="59">
        <v>0</v>
      </c>
      <c r="S30" s="59">
        <v>0</v>
      </c>
      <c r="T30" s="59">
        <v>0</v>
      </c>
      <c r="U30" s="59">
        <v>0</v>
      </c>
      <c r="V30" s="59">
        <v>0</v>
      </c>
      <c r="W30" s="59">
        <v>0</v>
      </c>
      <c r="X30" s="59">
        <v>0</v>
      </c>
      <c r="Y30" s="59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 s="79">
        <v>0</v>
      </c>
      <c r="AG30" s="79">
        <v>0</v>
      </c>
      <c r="AH30" s="79">
        <v>0</v>
      </c>
      <c r="AI30" s="79">
        <v>0</v>
      </c>
      <c r="AJ30" s="79">
        <v>0</v>
      </c>
      <c r="AK30" s="79">
        <f>'[1]MGT PnL MAR13'!AP35+'[1]MGT PnL JUN14'!AN35</f>
        <v>0</v>
      </c>
      <c r="AL30" s="79">
        <v>0</v>
      </c>
      <c r="AM30" s="79">
        <f>'[1]MGT PnL MAR13'!AX36+'[1]MGT PnL JUN14'!AV36</f>
        <v>0</v>
      </c>
      <c r="AN30">
        <v>0</v>
      </c>
      <c r="AO30">
        <v>0</v>
      </c>
      <c r="AP30" s="59">
        <v>0</v>
      </c>
      <c r="AQ30" s="59">
        <v>0</v>
      </c>
      <c r="AR30" s="59">
        <v>0</v>
      </c>
      <c r="AS30" s="59">
        <v>0</v>
      </c>
      <c r="AT30" s="59">
        <v>0</v>
      </c>
      <c r="AU30" s="59">
        <v>0</v>
      </c>
      <c r="AV30" s="59">
        <v>0</v>
      </c>
      <c r="AW30" s="59">
        <v>0</v>
      </c>
      <c r="AX30" s="59">
        <v>0</v>
      </c>
      <c r="AY30" s="59">
        <v>0</v>
      </c>
      <c r="AZ30" s="59">
        <v>0</v>
      </c>
      <c r="BA30" s="59">
        <v>0</v>
      </c>
      <c r="BB30" s="59">
        <v>0</v>
      </c>
      <c r="BC30" s="59">
        <v>1123.5</v>
      </c>
    </row>
    <row r="31" spans="2:55" x14ac:dyDescent="0.25">
      <c r="B31" s="83" t="e">
        <f t="shared" ca="1" si="6"/>
        <v>#REF!</v>
      </c>
      <c r="C31" s="60" t="e">
        <f t="shared" ca="1" si="7"/>
        <v>#REF!</v>
      </c>
      <c r="D31" s="59" t="e">
        <f t="shared" ca="1" si="8"/>
        <v>#REF!</v>
      </c>
      <c r="E31" s="82" t="e">
        <f t="shared" si="4"/>
        <v>#N/A</v>
      </c>
      <c r="F31" s="60" t="e">
        <f t="shared" ca="1" si="11"/>
        <v>#N/A</v>
      </c>
      <c r="G31" s="59" t="e">
        <f t="shared" ca="1" si="9"/>
        <v>#REF!</v>
      </c>
      <c r="H31" s="82" t="e">
        <f t="shared" si="5"/>
        <v>#N/A</v>
      </c>
      <c r="I31" s="60" t="e">
        <f t="shared" ca="1" si="10"/>
        <v>#N/A</v>
      </c>
      <c r="J31" s="14" t="s">
        <v>21</v>
      </c>
      <c r="K31" s="1">
        <v>8204</v>
      </c>
      <c r="L31" s="59">
        <v>313.64999999999998</v>
      </c>
      <c r="M31" s="59">
        <v>2104.89</v>
      </c>
      <c r="N31" s="59">
        <v>2148.6</v>
      </c>
      <c r="O31" s="59">
        <v>1791.24</v>
      </c>
      <c r="P31" s="59">
        <v>229.14</v>
      </c>
      <c r="Q31" s="59">
        <v>282.7</v>
      </c>
      <c r="R31" s="59">
        <v>239.61</v>
      </c>
      <c r="S31" s="59">
        <v>2344.5</v>
      </c>
      <c r="T31" s="59">
        <v>359</v>
      </c>
      <c r="U31" s="59">
        <v>2508</v>
      </c>
      <c r="V31" s="59">
        <v>286.38</v>
      </c>
      <c r="W31" s="59">
        <v>2630.88</v>
      </c>
      <c r="X31" s="59">
        <v>284.83999999999997</v>
      </c>
      <c r="Y31" s="59">
        <v>2915.72</v>
      </c>
      <c r="Z31">
        <v>209.41</v>
      </c>
      <c r="AA31">
        <v>209.41</v>
      </c>
      <c r="AB31">
        <v>260.92</v>
      </c>
      <c r="AC31">
        <v>470.33</v>
      </c>
      <c r="AD31">
        <v>217.74</v>
      </c>
      <c r="AE31">
        <v>688.07</v>
      </c>
      <c r="AF31" s="79">
        <v>263.02999999999997</v>
      </c>
      <c r="AG31" s="79">
        <v>951.1</v>
      </c>
      <c r="AH31" s="79">
        <v>189.03</v>
      </c>
      <c r="AI31" s="79">
        <v>1140.03</v>
      </c>
      <c r="AJ31" s="79">
        <v>302.77999999999997</v>
      </c>
      <c r="AK31" s="79">
        <v>1442.91</v>
      </c>
      <c r="AL31" s="79">
        <v>422.99</v>
      </c>
      <c r="AM31" s="79">
        <v>1865.9</v>
      </c>
      <c r="AN31">
        <v>313.64999999999998</v>
      </c>
      <c r="AO31">
        <v>2104.89</v>
      </c>
      <c r="AP31" s="59">
        <v>262.77</v>
      </c>
      <c r="AQ31" s="59">
        <v>2770.33</v>
      </c>
      <c r="AR31" s="59">
        <v>326.47000000000003</v>
      </c>
      <c r="AS31" s="59">
        <v>3096.8</v>
      </c>
      <c r="AT31" s="59">
        <v>302.89999999999998</v>
      </c>
      <c r="AU31" s="59">
        <v>3399.7</v>
      </c>
      <c r="AV31" s="59">
        <v>150.22999999999999</v>
      </c>
      <c r="AW31" s="59">
        <v>150.22999999999999</v>
      </c>
      <c r="AX31" s="59">
        <v>163.85</v>
      </c>
      <c r="AY31" s="59">
        <v>314.08000000000004</v>
      </c>
      <c r="AZ31" s="59">
        <v>207.94</v>
      </c>
      <c r="BA31" s="59">
        <v>522.02</v>
      </c>
      <c r="BB31" s="59">
        <v>104.76</v>
      </c>
      <c r="BC31" s="59">
        <v>1713.29</v>
      </c>
    </row>
    <row r="32" spans="2:55" ht="15" customHeight="1" x14ac:dyDescent="0.25">
      <c r="B32" s="83" t="e">
        <f t="shared" ca="1" si="6"/>
        <v>#REF!</v>
      </c>
      <c r="C32" s="60" t="e">
        <f t="shared" ca="1" si="7"/>
        <v>#REF!</v>
      </c>
      <c r="D32" s="59" t="e">
        <f t="shared" ca="1" si="8"/>
        <v>#REF!</v>
      </c>
      <c r="E32" s="82" t="e">
        <f t="shared" si="4"/>
        <v>#N/A</v>
      </c>
      <c r="F32" s="60" t="e">
        <f t="shared" ca="1" si="11"/>
        <v>#N/A</v>
      </c>
      <c r="G32" s="59" t="e">
        <f t="shared" ca="1" si="9"/>
        <v>#REF!</v>
      </c>
      <c r="H32" s="82" t="e">
        <f t="shared" si="5"/>
        <v>#N/A</v>
      </c>
      <c r="I32" s="60" t="e">
        <f t="shared" ca="1" si="10"/>
        <v>#N/A</v>
      </c>
      <c r="J32" s="14" t="s">
        <v>22</v>
      </c>
      <c r="K32" s="1">
        <v>8300</v>
      </c>
      <c r="L32" s="59">
        <v>300</v>
      </c>
      <c r="M32" s="59">
        <v>2700</v>
      </c>
      <c r="N32" s="59">
        <v>1520</v>
      </c>
      <c r="O32" s="59">
        <v>2400</v>
      </c>
      <c r="P32" s="59">
        <v>300</v>
      </c>
      <c r="Q32" s="59">
        <v>250</v>
      </c>
      <c r="R32" s="59">
        <v>370</v>
      </c>
      <c r="S32" s="59">
        <v>3070</v>
      </c>
      <c r="T32" s="59">
        <v>250</v>
      </c>
      <c r="U32" s="59">
        <v>1770</v>
      </c>
      <c r="V32" s="59">
        <v>370</v>
      </c>
      <c r="W32" s="59">
        <v>3440</v>
      </c>
      <c r="X32" s="59">
        <f>300+625</f>
        <v>925</v>
      </c>
      <c r="Y32" s="59">
        <f>3600+625</f>
        <v>4225</v>
      </c>
      <c r="Z32">
        <v>160</v>
      </c>
      <c r="AA32">
        <v>160</v>
      </c>
      <c r="AB32">
        <v>160</v>
      </c>
      <c r="AC32">
        <v>320</v>
      </c>
      <c r="AD32">
        <v>160</v>
      </c>
      <c r="AE32">
        <v>480</v>
      </c>
      <c r="AF32" s="79">
        <v>190</v>
      </c>
      <c r="AG32" s="79">
        <v>670</v>
      </c>
      <c r="AH32" s="79">
        <v>190</v>
      </c>
      <c r="AI32" s="79">
        <v>860</v>
      </c>
      <c r="AJ32" s="79">
        <v>190</v>
      </c>
      <c r="AK32" s="79">
        <v>1050</v>
      </c>
      <c r="AL32" s="79">
        <v>220</v>
      </c>
      <c r="AM32" s="79">
        <v>1270</v>
      </c>
      <c r="AN32">
        <v>300</v>
      </c>
      <c r="AO32">
        <v>2700</v>
      </c>
      <c r="AP32" s="59">
        <v>250</v>
      </c>
      <c r="AQ32" s="59">
        <v>2020</v>
      </c>
      <c r="AR32" s="59">
        <v>250</v>
      </c>
      <c r="AS32" s="59">
        <v>2020</v>
      </c>
      <c r="AT32" s="59">
        <v>314.2</v>
      </c>
      <c r="AU32" s="59">
        <v>2020</v>
      </c>
      <c r="AV32" s="59">
        <v>250</v>
      </c>
      <c r="AW32" s="59">
        <v>2020</v>
      </c>
      <c r="AX32" s="59">
        <v>250</v>
      </c>
      <c r="AY32" s="59">
        <v>2020</v>
      </c>
      <c r="AZ32" s="59">
        <v>250</v>
      </c>
      <c r="BA32" s="59">
        <v>2020</v>
      </c>
      <c r="BB32" s="59">
        <v>250</v>
      </c>
      <c r="BC32" s="59">
        <v>2020</v>
      </c>
    </row>
    <row r="33" spans="2:55" x14ac:dyDescent="0.25">
      <c r="B33" s="83" t="e">
        <f t="shared" ca="1" si="6"/>
        <v>#REF!</v>
      </c>
      <c r="C33" s="60" t="e">
        <f t="shared" ca="1" si="7"/>
        <v>#REF!</v>
      </c>
      <c r="D33" s="59" t="e">
        <f t="shared" ca="1" si="8"/>
        <v>#REF!</v>
      </c>
      <c r="E33" s="82" t="e">
        <f t="shared" si="4"/>
        <v>#N/A</v>
      </c>
      <c r="F33" s="60" t="e">
        <f t="shared" ca="1" si="11"/>
        <v>#N/A</v>
      </c>
      <c r="G33" s="59" t="e">
        <f t="shared" ca="1" si="9"/>
        <v>#REF!</v>
      </c>
      <c r="H33" s="82" t="e">
        <f t="shared" si="5"/>
        <v>#N/A</v>
      </c>
      <c r="I33" s="60" t="e">
        <f t="shared" ca="1" si="10"/>
        <v>#N/A</v>
      </c>
      <c r="J33" s="80" t="s">
        <v>24</v>
      </c>
      <c r="K33" s="43">
        <v>8310</v>
      </c>
      <c r="L33" s="59">
        <v>0</v>
      </c>
      <c r="M33" s="59">
        <v>0</v>
      </c>
      <c r="N33" s="59">
        <v>0</v>
      </c>
      <c r="O33" s="59">
        <v>0</v>
      </c>
      <c r="P33" s="59">
        <v>0</v>
      </c>
      <c r="Q33" s="59">
        <v>0</v>
      </c>
      <c r="R33" s="59">
        <v>0</v>
      </c>
      <c r="S33" s="59">
        <v>0</v>
      </c>
      <c r="T33" s="59">
        <v>0</v>
      </c>
      <c r="U33" s="59">
        <v>0</v>
      </c>
      <c r="V33" s="59">
        <v>0</v>
      </c>
      <c r="W33" s="59">
        <v>0</v>
      </c>
      <c r="X33" s="59">
        <v>0</v>
      </c>
      <c r="Y33" s="59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 s="79">
        <v>0</v>
      </c>
      <c r="AG33" s="79">
        <v>0</v>
      </c>
      <c r="AH33" s="79">
        <v>0</v>
      </c>
      <c r="AI33" s="79">
        <v>0</v>
      </c>
      <c r="AJ33" s="79">
        <v>0</v>
      </c>
      <c r="AK33" s="79">
        <f>'[1]MGT PnL MAR13'!AP31+'[1]MGT PnL JUN14'!AN31</f>
        <v>0</v>
      </c>
      <c r="AL33" s="79">
        <v>0</v>
      </c>
      <c r="AM33" s="79">
        <f>'[1]MGT PnL MAR13'!AX32+'[1]MGT PnL JUN14'!AV32</f>
        <v>0</v>
      </c>
      <c r="AN33">
        <v>0</v>
      </c>
      <c r="AO33">
        <v>0</v>
      </c>
      <c r="AP33" s="59">
        <v>0</v>
      </c>
      <c r="AQ33" s="59">
        <v>0</v>
      </c>
      <c r="AR33" s="59">
        <v>0</v>
      </c>
      <c r="AS33" s="59">
        <v>0</v>
      </c>
      <c r="AT33" s="59">
        <v>0</v>
      </c>
      <c r="AU33" s="59">
        <v>0</v>
      </c>
      <c r="AV33" s="59">
        <v>0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</row>
    <row r="34" spans="2:55" x14ac:dyDescent="0.25">
      <c r="B34" s="83" t="e">
        <f t="shared" ca="1" si="6"/>
        <v>#REF!</v>
      </c>
      <c r="C34" s="60" t="e">
        <f t="shared" ca="1" si="7"/>
        <v>#REF!</v>
      </c>
      <c r="D34" s="59" t="e">
        <f t="shared" ca="1" si="8"/>
        <v>#REF!</v>
      </c>
      <c r="E34" s="82" t="e">
        <f t="shared" si="4"/>
        <v>#N/A</v>
      </c>
      <c r="F34" s="60" t="e">
        <f t="shared" ca="1" si="11"/>
        <v>#N/A</v>
      </c>
      <c r="G34" s="59" t="e">
        <f t="shared" ca="1" si="9"/>
        <v>#REF!</v>
      </c>
      <c r="H34" s="82" t="e">
        <f t="shared" si="5"/>
        <v>#N/A</v>
      </c>
      <c r="I34" s="60" t="e">
        <f t="shared" ca="1" si="10"/>
        <v>#N/A</v>
      </c>
      <c r="J34" s="21" t="s">
        <v>25</v>
      </c>
      <c r="K34" s="44">
        <v>8400</v>
      </c>
      <c r="L34" s="59">
        <v>125</v>
      </c>
      <c r="M34" s="59">
        <v>1125</v>
      </c>
      <c r="N34" s="59">
        <v>1000</v>
      </c>
      <c r="O34" s="59">
        <v>1000</v>
      </c>
      <c r="P34" s="59">
        <v>125</v>
      </c>
      <c r="Q34" s="59">
        <v>125</v>
      </c>
      <c r="R34" s="59">
        <v>125</v>
      </c>
      <c r="S34" s="59">
        <v>1250</v>
      </c>
      <c r="T34" s="59">
        <v>125</v>
      </c>
      <c r="U34" s="59">
        <v>1125</v>
      </c>
      <c r="V34" s="59">
        <v>125</v>
      </c>
      <c r="W34" s="59">
        <v>1375</v>
      </c>
      <c r="X34" s="59">
        <v>10</v>
      </c>
      <c r="Y34" s="59">
        <v>1385</v>
      </c>
      <c r="Z34">
        <v>125</v>
      </c>
      <c r="AA34">
        <v>125</v>
      </c>
      <c r="AB34">
        <v>125</v>
      </c>
      <c r="AC34">
        <v>250</v>
      </c>
      <c r="AD34">
        <v>125</v>
      </c>
      <c r="AE34">
        <v>375</v>
      </c>
      <c r="AF34" s="79">
        <v>125</v>
      </c>
      <c r="AG34" s="79">
        <v>500</v>
      </c>
      <c r="AH34" s="79">
        <v>125</v>
      </c>
      <c r="AI34" s="79">
        <v>625</v>
      </c>
      <c r="AJ34" s="79">
        <v>125</v>
      </c>
      <c r="AK34" s="79">
        <v>750</v>
      </c>
      <c r="AL34" s="79">
        <v>125</v>
      </c>
      <c r="AM34" s="79">
        <v>875</v>
      </c>
      <c r="AN34">
        <v>125</v>
      </c>
      <c r="AO34">
        <v>1125</v>
      </c>
      <c r="AP34" s="59">
        <v>125</v>
      </c>
      <c r="AQ34" s="59">
        <v>1250</v>
      </c>
      <c r="AR34" s="59">
        <v>125</v>
      </c>
      <c r="AS34" s="59">
        <v>1375</v>
      </c>
      <c r="AT34" s="59">
        <v>-684.76</v>
      </c>
      <c r="AU34" s="59">
        <v>690.24</v>
      </c>
      <c r="AV34" s="59">
        <v>125</v>
      </c>
      <c r="AW34" s="59">
        <v>125</v>
      </c>
      <c r="AX34" s="59">
        <v>125</v>
      </c>
      <c r="AY34" s="59">
        <v>250</v>
      </c>
      <c r="AZ34" s="59">
        <v>125</v>
      </c>
      <c r="BA34" s="59">
        <v>375</v>
      </c>
      <c r="BB34" s="59">
        <v>125</v>
      </c>
      <c r="BC34" s="59">
        <v>1375</v>
      </c>
    </row>
    <row r="35" spans="2:55" x14ac:dyDescent="0.25">
      <c r="B35" s="83" t="e">
        <f t="shared" ca="1" si="6"/>
        <v>#REF!</v>
      </c>
      <c r="C35" s="60" t="e">
        <f t="shared" ca="1" si="7"/>
        <v>#REF!</v>
      </c>
      <c r="D35" s="59" t="e">
        <f t="shared" ca="1" si="8"/>
        <v>#REF!</v>
      </c>
      <c r="E35" s="82" t="e">
        <f t="shared" si="4"/>
        <v>#N/A</v>
      </c>
      <c r="F35" s="60" t="e">
        <f t="shared" ca="1" si="11"/>
        <v>#N/A</v>
      </c>
      <c r="G35" s="59" t="e">
        <f t="shared" ca="1" si="9"/>
        <v>#REF!</v>
      </c>
      <c r="H35" s="82" t="e">
        <f t="shared" si="5"/>
        <v>#N/A</v>
      </c>
      <c r="I35" s="60" t="e">
        <f t="shared" ca="1" si="10"/>
        <v>#N/A</v>
      </c>
      <c r="J35" s="19" t="s">
        <v>26</v>
      </c>
      <c r="K35" s="43">
        <v>8402</v>
      </c>
      <c r="L35" s="59">
        <v>580.42999999999995</v>
      </c>
      <c r="M35" s="59">
        <v>4513.68</v>
      </c>
      <c r="N35" s="59">
        <v>4467.1400000000003</v>
      </c>
      <c r="O35" s="59">
        <v>3933.2</v>
      </c>
      <c r="P35" s="59">
        <v>580.42999999999995</v>
      </c>
      <c r="Q35" s="59">
        <v>564.67999999999995</v>
      </c>
      <c r="R35" s="59">
        <v>580.42999999999995</v>
      </c>
      <c r="S35" s="59">
        <v>5094.0600000000004</v>
      </c>
      <c r="T35" s="59">
        <v>564.68000000000006</v>
      </c>
      <c r="U35" s="59">
        <v>5031.82</v>
      </c>
      <c r="V35" s="59">
        <v>580.42999999999995</v>
      </c>
      <c r="W35" s="59">
        <v>5674.49</v>
      </c>
      <c r="X35" s="59">
        <v>85.56</v>
      </c>
      <c r="Y35" s="59">
        <v>5760.05</v>
      </c>
      <c r="Z35">
        <v>540.42999999999995</v>
      </c>
      <c r="AA35">
        <v>540.42999999999995</v>
      </c>
      <c r="AB35">
        <v>540.42999999999995</v>
      </c>
      <c r="AC35">
        <v>1080.8599999999999</v>
      </c>
      <c r="AD35">
        <v>562.88</v>
      </c>
      <c r="AE35">
        <v>1643.74</v>
      </c>
      <c r="AF35" s="79">
        <v>564.88</v>
      </c>
      <c r="AG35" s="79">
        <v>2208.42</v>
      </c>
      <c r="AH35" s="79">
        <v>564.88</v>
      </c>
      <c r="AI35" s="79">
        <v>2773.1</v>
      </c>
      <c r="AJ35" s="79">
        <v>564.88</v>
      </c>
      <c r="AK35" s="79">
        <v>3337.78</v>
      </c>
      <c r="AL35" s="79">
        <v>564.88</v>
      </c>
      <c r="AM35" s="79">
        <v>3902.46</v>
      </c>
      <c r="AN35">
        <v>580.42999999999995</v>
      </c>
      <c r="AO35">
        <v>4513.68</v>
      </c>
      <c r="AP35" s="59">
        <v>564.67999999999995</v>
      </c>
      <c r="AQ35" s="59">
        <v>5596.5</v>
      </c>
      <c r="AR35" s="59">
        <v>564.67999999999995</v>
      </c>
      <c r="AS35" s="59">
        <v>6161.18</v>
      </c>
      <c r="AT35" s="59">
        <v>492.9</v>
      </c>
      <c r="AU35" s="59">
        <v>6654.08</v>
      </c>
      <c r="AV35" s="59">
        <v>564.67999999999995</v>
      </c>
      <c r="AW35" s="59">
        <v>564.67999999999995</v>
      </c>
      <c r="AX35" s="59">
        <v>564.67999999999995</v>
      </c>
      <c r="AY35" s="59">
        <v>1129.3599999999999</v>
      </c>
      <c r="AZ35" s="59">
        <v>590.63</v>
      </c>
      <c r="BA35" s="59">
        <v>1719.99</v>
      </c>
      <c r="BB35" s="59">
        <v>424.26</v>
      </c>
      <c r="BC35" s="59">
        <v>5262.99</v>
      </c>
    </row>
    <row r="36" spans="2:55" x14ac:dyDescent="0.25">
      <c r="B36" s="83" t="e">
        <f t="shared" ca="1" si="6"/>
        <v>#REF!</v>
      </c>
      <c r="C36" s="60" t="e">
        <f t="shared" ca="1" si="7"/>
        <v>#REF!</v>
      </c>
      <c r="D36" s="59" t="e">
        <f t="shared" ca="1" si="8"/>
        <v>#REF!</v>
      </c>
      <c r="E36" s="82" t="e">
        <f t="shared" si="4"/>
        <v>#N/A</v>
      </c>
      <c r="F36" s="60" t="e">
        <f t="shared" ca="1" si="11"/>
        <v>#N/A</v>
      </c>
      <c r="G36" s="59" t="e">
        <f t="shared" ca="1" si="9"/>
        <v>#REF!</v>
      </c>
      <c r="H36" s="82" t="e">
        <f t="shared" si="5"/>
        <v>#N/A</v>
      </c>
      <c r="I36" s="60" t="e">
        <f t="shared" ca="1" si="10"/>
        <v>#N/A</v>
      </c>
      <c r="J36" s="14" t="s">
        <v>27</v>
      </c>
      <c r="K36" s="1">
        <v>8405</v>
      </c>
      <c r="L36" s="59">
        <v>660.45</v>
      </c>
      <c r="M36" s="59">
        <v>6814.22</v>
      </c>
      <c r="N36" s="59">
        <v>6872.91</v>
      </c>
      <c r="O36" s="59">
        <v>6153.77</v>
      </c>
      <c r="P36" s="59">
        <v>224.85</v>
      </c>
      <c r="Q36" s="59">
        <v>943.52</v>
      </c>
      <c r="R36" s="59">
        <v>638.66999999999996</v>
      </c>
      <c r="S36" s="59">
        <v>7452.89</v>
      </c>
      <c r="T36" s="59">
        <v>816.59</v>
      </c>
      <c r="U36" s="59">
        <v>7689.5</v>
      </c>
      <c r="V36" s="59">
        <v>1109.68</v>
      </c>
      <c r="W36" s="59">
        <v>8562.57</v>
      </c>
      <c r="X36" s="59">
        <v>623.75</v>
      </c>
      <c r="Y36" s="59">
        <v>9186.32</v>
      </c>
      <c r="Z36">
        <v>677.44</v>
      </c>
      <c r="AA36">
        <v>677.44</v>
      </c>
      <c r="AB36">
        <v>465</v>
      </c>
      <c r="AC36">
        <v>1142.44</v>
      </c>
      <c r="AD36">
        <v>539</v>
      </c>
      <c r="AE36">
        <v>1681.44</v>
      </c>
      <c r="AF36" s="79">
        <v>1062.1400000000001</v>
      </c>
      <c r="AG36" s="79">
        <v>2743.58</v>
      </c>
      <c r="AH36" s="79">
        <v>629</v>
      </c>
      <c r="AI36" s="79">
        <v>3372.58</v>
      </c>
      <c r="AJ36" s="79">
        <v>1319.67</v>
      </c>
      <c r="AK36" s="79">
        <v>4692.25</v>
      </c>
      <c r="AL36" s="79">
        <v>1237.1400000000001</v>
      </c>
      <c r="AM36" s="79">
        <v>5929.39</v>
      </c>
      <c r="AN36">
        <v>660.45</v>
      </c>
      <c r="AO36">
        <v>6814.22</v>
      </c>
      <c r="AP36" s="59">
        <v>723.77</v>
      </c>
      <c r="AQ36" s="59">
        <v>8413.27</v>
      </c>
      <c r="AR36" s="59">
        <v>738.57</v>
      </c>
      <c r="AS36" s="59">
        <v>9151.84</v>
      </c>
      <c r="AT36" s="59">
        <v>2287.6999999999998</v>
      </c>
      <c r="AU36" s="59">
        <v>11439.54</v>
      </c>
      <c r="AV36" s="59">
        <v>365</v>
      </c>
      <c r="AW36" s="59">
        <v>365</v>
      </c>
      <c r="AX36" s="59">
        <v>3333.32</v>
      </c>
      <c r="AY36" s="59">
        <v>3698.32</v>
      </c>
      <c r="AZ36" s="59">
        <v>365</v>
      </c>
      <c r="BA36" s="59">
        <v>4063.32</v>
      </c>
      <c r="BB36" s="59">
        <v>596.20000000000005</v>
      </c>
      <c r="BC36" s="59">
        <v>10243.02</v>
      </c>
    </row>
    <row r="37" spans="2:55" x14ac:dyDescent="0.25">
      <c r="B37" s="83" t="e">
        <f t="shared" ca="1" si="6"/>
        <v>#REF!</v>
      </c>
      <c r="C37" s="60" t="e">
        <f t="shared" ca="1" si="7"/>
        <v>#REF!</v>
      </c>
      <c r="D37" s="59" t="e">
        <f t="shared" ca="1" si="8"/>
        <v>#REF!</v>
      </c>
      <c r="E37" s="82" t="e">
        <f t="shared" si="4"/>
        <v>#N/A</v>
      </c>
      <c r="F37" s="60" t="e">
        <f t="shared" ca="1" si="11"/>
        <v>#N/A</v>
      </c>
      <c r="G37" s="59" t="e">
        <f t="shared" ca="1" si="9"/>
        <v>#REF!</v>
      </c>
      <c r="H37" s="82" t="e">
        <f t="shared" si="5"/>
        <v>#N/A</v>
      </c>
      <c r="I37" s="60" t="e">
        <f t="shared" ca="1" si="10"/>
        <v>#N/A</v>
      </c>
      <c r="J37" s="14" t="s">
        <v>30</v>
      </c>
      <c r="K37" s="1">
        <v>8408</v>
      </c>
      <c r="L37" s="59">
        <v>12.92</v>
      </c>
      <c r="M37" s="59">
        <v>981.43</v>
      </c>
      <c r="N37" s="59">
        <v>1068.21</v>
      </c>
      <c r="O37" s="59">
        <v>968.51</v>
      </c>
      <c r="P37" s="59">
        <v>92.13</v>
      </c>
      <c r="Q37" s="59">
        <v>189.73</v>
      </c>
      <c r="R37" s="59">
        <v>17.13</v>
      </c>
      <c r="S37" s="59">
        <v>998.56</v>
      </c>
      <c r="T37" s="59">
        <v>98.2</v>
      </c>
      <c r="U37" s="59">
        <v>1166.4099999999999</v>
      </c>
      <c r="V37" s="59">
        <v>86.28</v>
      </c>
      <c r="W37" s="59">
        <v>1084.8399999999999</v>
      </c>
      <c r="X37" s="59">
        <v>64.72</v>
      </c>
      <c r="Y37" s="59">
        <v>1149.56</v>
      </c>
      <c r="Z37">
        <v>346.37</v>
      </c>
      <c r="AA37">
        <v>346.37</v>
      </c>
      <c r="AB37">
        <v>95.78</v>
      </c>
      <c r="AC37">
        <v>442.15</v>
      </c>
      <c r="AD37">
        <v>5.2</v>
      </c>
      <c r="AE37">
        <v>447.35</v>
      </c>
      <c r="AF37" s="79">
        <v>6.4</v>
      </c>
      <c r="AG37" s="79">
        <v>453.75</v>
      </c>
      <c r="AH37" s="79">
        <v>395.18</v>
      </c>
      <c r="AI37" s="79">
        <v>848.93</v>
      </c>
      <c r="AJ37" s="79">
        <v>7.15</v>
      </c>
      <c r="AK37" s="79">
        <v>856.08</v>
      </c>
      <c r="AL37" s="79">
        <v>22.4</v>
      </c>
      <c r="AM37" s="79">
        <v>878.48</v>
      </c>
      <c r="AN37">
        <v>12.92</v>
      </c>
      <c r="AO37">
        <v>981.43</v>
      </c>
      <c r="AP37" s="59">
        <v>164</v>
      </c>
      <c r="AQ37" s="59">
        <v>1330.41</v>
      </c>
      <c r="AR37" s="59">
        <v>78.28</v>
      </c>
      <c r="AS37" s="59">
        <v>1408.69</v>
      </c>
      <c r="AT37" s="59">
        <v>117.14</v>
      </c>
      <c r="AU37" s="59">
        <v>1525.83</v>
      </c>
      <c r="AV37" s="59">
        <v>168.07</v>
      </c>
      <c r="AW37" s="59">
        <v>168.07</v>
      </c>
      <c r="AX37" s="59">
        <v>64.540000000000006</v>
      </c>
      <c r="AY37" s="59">
        <v>232.61</v>
      </c>
      <c r="AZ37" s="59">
        <v>31.83</v>
      </c>
      <c r="BA37" s="59">
        <v>264.44</v>
      </c>
      <c r="BB37" s="59">
        <v>206.45</v>
      </c>
      <c r="BC37" s="59">
        <v>894.44</v>
      </c>
    </row>
    <row r="38" spans="2:55" x14ac:dyDescent="0.25">
      <c r="B38" s="83" t="e">
        <f t="shared" ca="1" si="6"/>
        <v>#REF!</v>
      </c>
      <c r="C38" s="60" t="e">
        <f t="shared" ca="1" si="7"/>
        <v>#REF!</v>
      </c>
      <c r="D38" s="59" t="e">
        <f t="shared" ca="1" si="8"/>
        <v>#REF!</v>
      </c>
      <c r="E38" s="82" t="e">
        <f t="shared" si="4"/>
        <v>#N/A</v>
      </c>
      <c r="F38" s="60" t="e">
        <f t="shared" ca="1" si="11"/>
        <v>#N/A</v>
      </c>
      <c r="G38" s="59" t="e">
        <f t="shared" ca="1" si="9"/>
        <v>#REF!</v>
      </c>
      <c r="H38" s="82" t="e">
        <f t="shared" si="5"/>
        <v>#N/A</v>
      </c>
      <c r="I38" s="60" t="e">
        <f t="shared" ca="1" si="10"/>
        <v>#N/A</v>
      </c>
      <c r="J38" s="14" t="s">
        <v>31</v>
      </c>
      <c r="K38" s="1">
        <v>8410</v>
      </c>
      <c r="L38" s="59">
        <v>1975</v>
      </c>
      <c r="M38" s="59">
        <v>17775</v>
      </c>
      <c r="N38" s="59">
        <v>16160</v>
      </c>
      <c r="O38" s="59">
        <v>15800</v>
      </c>
      <c r="P38" s="59">
        <v>1975</v>
      </c>
      <c r="Q38" s="59">
        <v>2020</v>
      </c>
      <c r="R38" s="59">
        <v>1975</v>
      </c>
      <c r="S38" s="59">
        <v>19750</v>
      </c>
      <c r="T38" s="59">
        <v>2020</v>
      </c>
      <c r="U38" s="59">
        <v>18180</v>
      </c>
      <c r="V38" s="59">
        <v>1975</v>
      </c>
      <c r="W38" s="59">
        <v>21725</v>
      </c>
      <c r="X38" s="59">
        <v>1555.55</v>
      </c>
      <c r="Y38" s="59">
        <v>23280.55</v>
      </c>
      <c r="Z38">
        <v>2020</v>
      </c>
      <c r="AA38">
        <v>2020</v>
      </c>
      <c r="AB38">
        <v>2020</v>
      </c>
      <c r="AC38">
        <v>4040</v>
      </c>
      <c r="AD38">
        <v>2020</v>
      </c>
      <c r="AE38">
        <v>6060</v>
      </c>
      <c r="AF38" s="79">
        <v>2020</v>
      </c>
      <c r="AG38" s="79">
        <v>8080</v>
      </c>
      <c r="AH38" s="79">
        <v>2020</v>
      </c>
      <c r="AI38" s="79">
        <v>10100</v>
      </c>
      <c r="AJ38" s="79">
        <v>2020</v>
      </c>
      <c r="AK38" s="79">
        <v>12120</v>
      </c>
      <c r="AL38" s="79">
        <v>2020</v>
      </c>
      <c r="AM38" s="79">
        <v>14140</v>
      </c>
      <c r="AN38">
        <v>1975</v>
      </c>
      <c r="AO38">
        <v>17775</v>
      </c>
      <c r="AP38" s="59">
        <v>2020</v>
      </c>
      <c r="AQ38" s="59">
        <v>20200</v>
      </c>
      <c r="AR38" s="59">
        <v>2020</v>
      </c>
      <c r="AS38" s="59">
        <v>22220</v>
      </c>
      <c r="AT38" s="59">
        <v>7932.54</v>
      </c>
      <c r="AU38" s="59">
        <v>30152.54</v>
      </c>
      <c r="AV38" s="59">
        <v>2020</v>
      </c>
      <c r="AW38" s="59">
        <v>2020</v>
      </c>
      <c r="AX38" s="59">
        <v>2020</v>
      </c>
      <c r="AY38" s="59">
        <v>4040</v>
      </c>
      <c r="AZ38" s="59">
        <v>2020</v>
      </c>
      <c r="BA38" s="59">
        <v>6060</v>
      </c>
      <c r="BB38" s="59">
        <v>2020</v>
      </c>
      <c r="BC38" s="59">
        <v>22220</v>
      </c>
    </row>
    <row r="39" spans="2:55" x14ac:dyDescent="0.25">
      <c r="B39" s="83" t="e">
        <f t="shared" ca="1" si="6"/>
        <v>#REF!</v>
      </c>
      <c r="C39" s="60" t="e">
        <f t="shared" ca="1" si="7"/>
        <v>#REF!</v>
      </c>
      <c r="D39" s="59" t="e">
        <f t="shared" ca="1" si="8"/>
        <v>#REF!</v>
      </c>
      <c r="E39" s="82" t="e">
        <f t="shared" si="4"/>
        <v>#N/A</v>
      </c>
      <c r="F39" s="60" t="e">
        <f t="shared" ca="1" si="11"/>
        <v>#N/A</v>
      </c>
      <c r="G39" s="59" t="e">
        <f t="shared" ca="1" si="9"/>
        <v>#REF!</v>
      </c>
      <c r="H39" s="82" t="e">
        <f t="shared" si="5"/>
        <v>#N/A</v>
      </c>
      <c r="I39" s="60" t="e">
        <f t="shared" ca="1" si="10"/>
        <v>#N/A</v>
      </c>
      <c r="J39" s="14" t="s">
        <v>32</v>
      </c>
      <c r="K39" s="1">
        <v>8414</v>
      </c>
      <c r="L39" s="59">
        <f>2829.76-2500</f>
        <v>329.76000000000022</v>
      </c>
      <c r="M39" s="59">
        <f>5415.66-2500</f>
        <v>2915.66</v>
      </c>
      <c r="N39" s="59">
        <v>5915.05</v>
      </c>
      <c r="O39" s="59">
        <v>2585.9</v>
      </c>
      <c r="P39" s="59">
        <v>0</v>
      </c>
      <c r="Q39" s="59">
        <v>4632</v>
      </c>
      <c r="R39" s="59">
        <v>0</v>
      </c>
      <c r="S39" s="59">
        <v>2915.66</v>
      </c>
      <c r="T39" s="59">
        <v>3000</v>
      </c>
      <c r="U39" s="59">
        <v>8915.0499999999993</v>
      </c>
      <c r="V39" s="59">
        <v>0</v>
      </c>
      <c r="W39" s="59">
        <v>2915.66</v>
      </c>
      <c r="X39" s="59">
        <v>0</v>
      </c>
      <c r="Y39" s="59">
        <f>5415.66-2500</f>
        <v>2915.66</v>
      </c>
      <c r="Z39">
        <v>0</v>
      </c>
      <c r="AA39">
        <v>0</v>
      </c>
      <c r="AB39">
        <v>155</v>
      </c>
      <c r="AC39">
        <v>0</v>
      </c>
      <c r="AD39">
        <v>0</v>
      </c>
      <c r="AE39">
        <v>155</v>
      </c>
      <c r="AF39" s="79">
        <v>0</v>
      </c>
      <c r="AG39" s="79">
        <v>155</v>
      </c>
      <c r="AH39" s="79">
        <v>0</v>
      </c>
      <c r="AI39" s="79">
        <v>155</v>
      </c>
      <c r="AJ39" s="79">
        <v>734.79</v>
      </c>
      <c r="AK39" s="79">
        <v>889.79</v>
      </c>
      <c r="AL39" s="79">
        <v>393.26</v>
      </c>
      <c r="AM39" s="79">
        <v>1283.05</v>
      </c>
      <c r="AN39">
        <v>329.76000000000022</v>
      </c>
      <c r="AO39">
        <v>2915.66</v>
      </c>
      <c r="AP39" s="59">
        <v>0</v>
      </c>
      <c r="AQ39" s="59">
        <v>8915.0499999999993</v>
      </c>
      <c r="AR39" s="59">
        <v>0</v>
      </c>
      <c r="AS39" s="59">
        <v>8915.0499999999993</v>
      </c>
      <c r="AT39" s="59">
        <v>0</v>
      </c>
      <c r="AU39" s="59">
        <v>8521.7900000000009</v>
      </c>
      <c r="AV39" s="59">
        <v>260</v>
      </c>
      <c r="AW39" s="59">
        <v>3260</v>
      </c>
      <c r="AX39" s="59">
        <v>0</v>
      </c>
      <c r="AY39" s="59">
        <v>3260</v>
      </c>
      <c r="AZ39" s="59">
        <v>0</v>
      </c>
      <c r="BA39" s="59">
        <v>3260</v>
      </c>
      <c r="BB39" s="59">
        <v>0</v>
      </c>
      <c r="BC39" s="59">
        <v>4547.3999999999996</v>
      </c>
    </row>
    <row r="40" spans="2:55" x14ac:dyDescent="0.25">
      <c r="B40" s="83" t="e">
        <f t="shared" ca="1" si="6"/>
        <v>#REF!</v>
      </c>
      <c r="C40" s="60" t="e">
        <f t="shared" ca="1" si="7"/>
        <v>#REF!</v>
      </c>
      <c r="D40" s="59" t="e">
        <f t="shared" ca="1" si="8"/>
        <v>#REF!</v>
      </c>
      <c r="E40" s="82" t="e">
        <f t="shared" si="4"/>
        <v>#N/A</v>
      </c>
      <c r="F40" s="60" t="e">
        <f t="shared" ca="1" si="11"/>
        <v>#N/A</v>
      </c>
      <c r="G40" s="59" t="e">
        <f t="shared" ca="1" si="9"/>
        <v>#REF!</v>
      </c>
      <c r="H40" s="82" t="e">
        <f t="shared" si="5"/>
        <v>#N/A</v>
      </c>
      <c r="I40" s="60" t="e">
        <f t="shared" ca="1" si="10"/>
        <v>#N/A</v>
      </c>
      <c r="J40" s="14" t="s">
        <v>33</v>
      </c>
      <c r="K40" s="1">
        <v>8420</v>
      </c>
      <c r="L40" s="59">
        <v>11296.18</v>
      </c>
      <c r="M40" s="59">
        <v>103851.71</v>
      </c>
      <c r="N40" s="59">
        <v>92281.08</v>
      </c>
      <c r="O40" s="59">
        <v>92555.53</v>
      </c>
      <c r="P40" s="59">
        <v>11296.18</v>
      </c>
      <c r="Q40" s="59">
        <v>11787.08</v>
      </c>
      <c r="R40" s="59">
        <v>11296.18</v>
      </c>
      <c r="S40" s="59">
        <v>115147.89</v>
      </c>
      <c r="T40" s="59">
        <v>10942.33</v>
      </c>
      <c r="U40" s="59">
        <v>103223.41</v>
      </c>
      <c r="V40" s="59">
        <v>15210.19</v>
      </c>
      <c r="W40" s="59">
        <v>130358.08</v>
      </c>
      <c r="X40" s="59">
        <v>11296.18</v>
      </c>
      <c r="Y40" s="59">
        <v>141654.26</v>
      </c>
      <c r="Z40">
        <v>11296.18</v>
      </c>
      <c r="AA40">
        <v>11296.18</v>
      </c>
      <c r="AB40">
        <v>10959.14</v>
      </c>
      <c r="AC40">
        <v>22255.32</v>
      </c>
      <c r="AD40">
        <v>11287.08</v>
      </c>
      <c r="AE40">
        <v>33542.400000000001</v>
      </c>
      <c r="AF40" s="79">
        <v>11287.08</v>
      </c>
      <c r="AG40" s="79">
        <v>44829.48</v>
      </c>
      <c r="AH40" s="79">
        <v>11287.08</v>
      </c>
      <c r="AI40" s="79">
        <v>56116.56</v>
      </c>
      <c r="AJ40" s="79">
        <v>11287.08</v>
      </c>
      <c r="AK40" s="79">
        <v>67403.64</v>
      </c>
      <c r="AL40" s="79">
        <v>13090.36</v>
      </c>
      <c r="AM40" s="79">
        <v>80494</v>
      </c>
      <c r="AN40">
        <v>11296.18</v>
      </c>
      <c r="AO40">
        <v>103851.71</v>
      </c>
      <c r="AP40" s="59">
        <v>11787.08</v>
      </c>
      <c r="AQ40" s="59">
        <v>115855.24</v>
      </c>
      <c r="AR40" s="59">
        <v>12925.09</v>
      </c>
      <c r="AS40" s="59">
        <v>128780.33</v>
      </c>
      <c r="AT40" s="59">
        <v>9773.93</v>
      </c>
      <c r="AU40" s="59">
        <v>138554.26</v>
      </c>
      <c r="AV40" s="59">
        <v>11787.08</v>
      </c>
      <c r="AW40" s="59">
        <v>11787.08</v>
      </c>
      <c r="AX40" s="59">
        <v>11787.08</v>
      </c>
      <c r="AY40" s="59">
        <v>23574.16</v>
      </c>
      <c r="AZ40" s="59">
        <v>11779.89</v>
      </c>
      <c r="BA40" s="59">
        <v>35354.050000000003</v>
      </c>
      <c r="BB40" s="59">
        <v>14219.69</v>
      </c>
      <c r="BC40" s="59">
        <v>135545.57</v>
      </c>
    </row>
    <row r="41" spans="2:55" x14ac:dyDescent="0.25">
      <c r="B41" s="83" t="e">
        <f t="shared" ca="1" si="6"/>
        <v>#REF!</v>
      </c>
      <c r="C41" s="60" t="e">
        <f t="shared" ca="1" si="7"/>
        <v>#REF!</v>
      </c>
      <c r="D41" s="59" t="e">
        <f t="shared" ca="1" si="8"/>
        <v>#REF!</v>
      </c>
      <c r="E41" s="82" t="e">
        <f t="shared" si="4"/>
        <v>#N/A</v>
      </c>
      <c r="F41" s="60" t="e">
        <f t="shared" ca="1" si="11"/>
        <v>#N/A</v>
      </c>
      <c r="G41" s="59" t="e">
        <f t="shared" ca="1" si="9"/>
        <v>#REF!</v>
      </c>
      <c r="H41" s="82" t="e">
        <f t="shared" si="5"/>
        <v>#N/A</v>
      </c>
      <c r="I41" s="60" t="e">
        <f t="shared" ca="1" si="10"/>
        <v>#N/A</v>
      </c>
      <c r="J41" s="14" t="s">
        <v>34</v>
      </c>
      <c r="K41" s="1">
        <v>8424</v>
      </c>
      <c r="L41" s="59">
        <v>0</v>
      </c>
      <c r="M41" s="59">
        <v>2379.23</v>
      </c>
      <c r="N41" s="59">
        <v>1434.93</v>
      </c>
      <c r="O41" s="59">
        <v>2379.23</v>
      </c>
      <c r="P41" s="59">
        <v>311.26</v>
      </c>
      <c r="Q41" s="59">
        <v>114.9</v>
      </c>
      <c r="R41" s="59">
        <v>247.74</v>
      </c>
      <c r="S41" s="59">
        <v>2626.97</v>
      </c>
      <c r="T41" s="59">
        <v>313.68</v>
      </c>
      <c r="U41" s="59">
        <v>1748.61</v>
      </c>
      <c r="V41" s="59">
        <v>179.84</v>
      </c>
      <c r="W41" s="59">
        <v>2846.74</v>
      </c>
      <c r="X41" s="59">
        <v>535.80999999999995</v>
      </c>
      <c r="Y41" s="59">
        <v>3382.55</v>
      </c>
      <c r="Z41">
        <v>405.18</v>
      </c>
      <c r="AA41">
        <v>405.18</v>
      </c>
      <c r="AB41">
        <v>230.26</v>
      </c>
      <c r="AC41">
        <v>635.44000000000005</v>
      </c>
      <c r="AD41">
        <v>7.5</v>
      </c>
      <c r="AE41">
        <v>642.94000000000005</v>
      </c>
      <c r="AF41" s="79">
        <v>0</v>
      </c>
      <c r="AG41" s="79">
        <v>642.94000000000005</v>
      </c>
      <c r="AH41" s="79">
        <v>313.89</v>
      </c>
      <c r="AI41" s="79">
        <v>956.83</v>
      </c>
      <c r="AJ41" s="79">
        <v>363.2</v>
      </c>
      <c r="AK41" s="79">
        <v>1320.03</v>
      </c>
      <c r="AL41" s="79">
        <v>0</v>
      </c>
      <c r="AM41" s="79">
        <v>1320.03</v>
      </c>
      <c r="AN41">
        <v>0</v>
      </c>
      <c r="AO41">
        <v>2379.23</v>
      </c>
      <c r="AP41" s="59">
        <v>328.31</v>
      </c>
      <c r="AQ41" s="59">
        <v>2076.92</v>
      </c>
      <c r="AR41" s="59">
        <v>326.70999999999998</v>
      </c>
      <c r="AS41" s="59">
        <v>2403.63</v>
      </c>
      <c r="AT41" s="59">
        <v>0</v>
      </c>
      <c r="AU41" s="59">
        <v>2403.63</v>
      </c>
      <c r="AV41" s="59">
        <v>215.1</v>
      </c>
      <c r="AW41" s="59">
        <v>215.1</v>
      </c>
      <c r="AX41" s="59">
        <v>603.55999999999995</v>
      </c>
      <c r="AY41" s="59">
        <v>818.66</v>
      </c>
      <c r="AZ41" s="59">
        <v>34.619999999999997</v>
      </c>
      <c r="BA41" s="59">
        <v>853.28</v>
      </c>
      <c r="BB41" s="59">
        <v>41.45</v>
      </c>
      <c r="BC41" s="59">
        <v>2769.57</v>
      </c>
    </row>
    <row r="42" spans="2:55" x14ac:dyDescent="0.25">
      <c r="B42" s="83" t="e">
        <f t="shared" ca="1" si="6"/>
        <v>#REF!</v>
      </c>
      <c r="C42" s="60" t="e">
        <f t="shared" ca="1" si="7"/>
        <v>#REF!</v>
      </c>
      <c r="D42" s="59" t="e">
        <f t="shared" ca="1" si="8"/>
        <v>#REF!</v>
      </c>
      <c r="E42" s="82" t="e">
        <f t="shared" si="4"/>
        <v>#N/A</v>
      </c>
      <c r="F42" s="60" t="e">
        <f t="shared" ca="1" si="11"/>
        <v>#N/A</v>
      </c>
      <c r="G42" s="59" t="e">
        <f t="shared" ca="1" si="9"/>
        <v>#REF!</v>
      </c>
      <c r="H42" s="82" t="e">
        <f t="shared" si="5"/>
        <v>#N/A</v>
      </c>
      <c r="I42" s="60" t="e">
        <f t="shared" ca="1" si="10"/>
        <v>#N/A</v>
      </c>
      <c r="J42" s="14" t="s">
        <v>35</v>
      </c>
      <c r="K42" s="1">
        <v>8426</v>
      </c>
      <c r="L42" s="59">
        <v>660</v>
      </c>
      <c r="M42" s="59">
        <v>5940</v>
      </c>
      <c r="N42" s="59">
        <v>5600</v>
      </c>
      <c r="O42" s="59">
        <v>5280</v>
      </c>
      <c r="P42" s="59">
        <v>660</v>
      </c>
      <c r="Q42" s="59">
        <v>700</v>
      </c>
      <c r="R42" s="59">
        <v>660</v>
      </c>
      <c r="S42" s="59">
        <v>6600</v>
      </c>
      <c r="T42" s="59">
        <v>715.55</v>
      </c>
      <c r="U42" s="59">
        <v>6315.55</v>
      </c>
      <c r="V42" s="59">
        <v>660</v>
      </c>
      <c r="W42" s="59">
        <v>7260</v>
      </c>
      <c r="X42" s="59">
        <v>233.5</v>
      </c>
      <c r="Y42" s="59">
        <v>7493.5</v>
      </c>
      <c r="Z42">
        <v>700</v>
      </c>
      <c r="AA42">
        <v>700</v>
      </c>
      <c r="AB42">
        <v>700</v>
      </c>
      <c r="AC42">
        <v>1400</v>
      </c>
      <c r="AD42">
        <v>700</v>
      </c>
      <c r="AE42">
        <v>2100</v>
      </c>
      <c r="AF42" s="79">
        <v>700</v>
      </c>
      <c r="AG42" s="79">
        <v>2800</v>
      </c>
      <c r="AH42" s="79">
        <v>700</v>
      </c>
      <c r="AI42" s="79">
        <v>3500</v>
      </c>
      <c r="AJ42" s="79">
        <v>700</v>
      </c>
      <c r="AK42" s="79">
        <v>4200</v>
      </c>
      <c r="AL42" s="79">
        <v>700</v>
      </c>
      <c r="AM42" s="79">
        <v>4900</v>
      </c>
      <c r="AN42">
        <v>660</v>
      </c>
      <c r="AO42">
        <v>5940</v>
      </c>
      <c r="AP42" s="59">
        <v>700</v>
      </c>
      <c r="AQ42" s="59">
        <v>7015.55</v>
      </c>
      <c r="AR42" s="59">
        <v>700</v>
      </c>
      <c r="AS42" s="59">
        <v>7715.55</v>
      </c>
      <c r="AT42" s="59">
        <v>-723.74</v>
      </c>
      <c r="AU42" s="59">
        <v>6991.81</v>
      </c>
      <c r="AV42" s="59">
        <v>722.43</v>
      </c>
      <c r="AW42" s="59">
        <v>722.43</v>
      </c>
      <c r="AX42" s="59">
        <v>719.86</v>
      </c>
      <c r="AY42" s="59">
        <v>1442.29</v>
      </c>
      <c r="AZ42" s="59">
        <v>700</v>
      </c>
      <c r="BA42" s="59">
        <v>2142.29</v>
      </c>
      <c r="BB42" s="59">
        <v>700</v>
      </c>
      <c r="BC42" s="59">
        <v>7966.54</v>
      </c>
    </row>
    <row r="43" spans="2:55" x14ac:dyDescent="0.25">
      <c r="B43" s="83" t="e">
        <f t="shared" ca="1" si="6"/>
        <v>#REF!</v>
      </c>
      <c r="C43" s="60" t="e">
        <f t="shared" ca="1" si="7"/>
        <v>#REF!</v>
      </c>
      <c r="D43" s="59" t="e">
        <f t="shared" ca="1" si="8"/>
        <v>#REF!</v>
      </c>
      <c r="E43" s="82" t="e">
        <f t="shared" si="4"/>
        <v>#N/A</v>
      </c>
      <c r="F43" s="60" t="e">
        <f t="shared" ca="1" si="11"/>
        <v>#N/A</v>
      </c>
      <c r="G43" s="59" t="e">
        <f t="shared" ca="1" si="9"/>
        <v>#REF!</v>
      </c>
      <c r="H43" s="82" t="e">
        <f t="shared" si="5"/>
        <v>#N/A</v>
      </c>
      <c r="I43" s="60" t="e">
        <f t="shared" ca="1" si="10"/>
        <v>#N/A</v>
      </c>
      <c r="J43" s="14" t="s">
        <v>36</v>
      </c>
      <c r="K43" s="1">
        <v>8430</v>
      </c>
      <c r="L43" s="59">
        <v>310.97000000000003</v>
      </c>
      <c r="M43" s="59">
        <v>4422.18</v>
      </c>
      <c r="N43" s="59">
        <v>2461.75</v>
      </c>
      <c r="O43" s="59">
        <v>4111.21</v>
      </c>
      <c r="P43" s="59">
        <v>253.67</v>
      </c>
      <c r="Q43" s="59">
        <v>230.95</v>
      </c>
      <c r="R43" s="59">
        <v>617.96</v>
      </c>
      <c r="S43" s="59">
        <v>5040.1400000000003</v>
      </c>
      <c r="T43" s="59">
        <v>592.54</v>
      </c>
      <c r="U43" s="59">
        <v>3054.29</v>
      </c>
      <c r="V43" s="59">
        <v>545.04999999999995</v>
      </c>
      <c r="W43" s="59">
        <v>5585.19</v>
      </c>
      <c r="X43" s="59">
        <v>397.45</v>
      </c>
      <c r="Y43" s="59">
        <v>5982.64</v>
      </c>
      <c r="Z43">
        <v>678.98</v>
      </c>
      <c r="AA43">
        <v>678.98</v>
      </c>
      <c r="AB43">
        <v>391.32</v>
      </c>
      <c r="AC43">
        <v>1070.3</v>
      </c>
      <c r="AD43">
        <v>345.95</v>
      </c>
      <c r="AE43">
        <v>1416.25</v>
      </c>
      <c r="AF43" s="79">
        <v>215.95</v>
      </c>
      <c r="AG43" s="79">
        <v>1632.2</v>
      </c>
      <c r="AH43" s="79">
        <v>188.66</v>
      </c>
      <c r="AI43" s="79">
        <v>1820.86</v>
      </c>
      <c r="AJ43" s="79">
        <v>213.99</v>
      </c>
      <c r="AK43" s="79">
        <v>2034.85</v>
      </c>
      <c r="AL43" s="79">
        <v>195.95</v>
      </c>
      <c r="AM43" s="79">
        <v>2230.8000000000002</v>
      </c>
      <c r="AN43">
        <v>310.97000000000003</v>
      </c>
      <c r="AO43">
        <v>4422.18</v>
      </c>
      <c r="AP43" s="59">
        <v>195.95</v>
      </c>
      <c r="AQ43" s="59">
        <v>3250.24</v>
      </c>
      <c r="AR43" s="59">
        <v>241.74</v>
      </c>
      <c r="AS43" s="59">
        <v>3491.98</v>
      </c>
      <c r="AT43" s="59">
        <v>-4063.9</v>
      </c>
      <c r="AU43" s="59">
        <v>-571.91999999999996</v>
      </c>
      <c r="AV43" s="59">
        <v>195.95</v>
      </c>
      <c r="AW43" s="59">
        <v>195.95</v>
      </c>
      <c r="AX43" s="59">
        <v>505.95</v>
      </c>
      <c r="AY43" s="59">
        <v>701.9</v>
      </c>
      <c r="AZ43" s="59">
        <v>176</v>
      </c>
      <c r="BA43" s="59">
        <v>877.9</v>
      </c>
      <c r="BB43" s="59">
        <v>179.53</v>
      </c>
      <c r="BC43" s="59">
        <v>6869.37</v>
      </c>
    </row>
    <row r="44" spans="2:55" x14ac:dyDescent="0.25">
      <c r="B44" s="83" t="e">
        <f t="shared" ca="1" si="6"/>
        <v>#REF!</v>
      </c>
      <c r="C44" s="60" t="e">
        <f t="shared" ca="1" si="7"/>
        <v>#REF!</v>
      </c>
      <c r="D44" s="59" t="e">
        <f t="shared" ca="1" si="8"/>
        <v>#REF!</v>
      </c>
      <c r="E44" s="82" t="e">
        <f t="shared" si="4"/>
        <v>#N/A</v>
      </c>
      <c r="F44" s="60" t="e">
        <f t="shared" ca="1" si="11"/>
        <v>#N/A</v>
      </c>
      <c r="G44" s="59" t="e">
        <f t="shared" ca="1" si="9"/>
        <v>#REF!</v>
      </c>
      <c r="H44" s="82" t="e">
        <f t="shared" si="5"/>
        <v>#N/A</v>
      </c>
      <c r="I44" s="60" t="e">
        <f t="shared" ca="1" si="10"/>
        <v>#N/A</v>
      </c>
      <c r="J44" s="14" t="s">
        <v>29</v>
      </c>
      <c r="K44" s="1">
        <v>8433</v>
      </c>
      <c r="L44" s="59">
        <v>75</v>
      </c>
      <c r="M44" s="59">
        <v>205</v>
      </c>
      <c r="N44" s="59">
        <v>1368</v>
      </c>
      <c r="O44" s="59">
        <v>130</v>
      </c>
      <c r="P44" s="59">
        <v>0</v>
      </c>
      <c r="Q44" s="59">
        <v>0</v>
      </c>
      <c r="R44" s="59">
        <v>0</v>
      </c>
      <c r="S44" s="59">
        <v>205</v>
      </c>
      <c r="T44" s="59">
        <v>0</v>
      </c>
      <c r="U44" s="59">
        <v>1368</v>
      </c>
      <c r="V44" s="59">
        <v>75</v>
      </c>
      <c r="W44" s="59">
        <v>280</v>
      </c>
      <c r="X44" s="59">
        <v>0</v>
      </c>
      <c r="Y44" s="59">
        <v>280</v>
      </c>
      <c r="Z44">
        <v>0</v>
      </c>
      <c r="AA44">
        <v>0</v>
      </c>
      <c r="AB44">
        <v>933</v>
      </c>
      <c r="AC44">
        <v>0</v>
      </c>
      <c r="AD44">
        <v>0</v>
      </c>
      <c r="AE44">
        <v>933</v>
      </c>
      <c r="AF44" s="79">
        <v>0</v>
      </c>
      <c r="AG44" s="79">
        <v>933</v>
      </c>
      <c r="AH44" s="79">
        <v>0</v>
      </c>
      <c r="AI44" s="79">
        <v>933</v>
      </c>
      <c r="AJ44" s="79">
        <v>435</v>
      </c>
      <c r="AK44" s="79">
        <v>1368</v>
      </c>
      <c r="AL44" s="79">
        <v>0</v>
      </c>
      <c r="AM44" s="79">
        <v>1368</v>
      </c>
      <c r="AN44">
        <v>75</v>
      </c>
      <c r="AO44">
        <v>205</v>
      </c>
      <c r="AP44" s="59">
        <v>740</v>
      </c>
      <c r="AQ44" s="59">
        <v>2108</v>
      </c>
      <c r="AR44" s="59">
        <v>0</v>
      </c>
      <c r="AS44" s="59">
        <v>2108</v>
      </c>
      <c r="AT44" s="59">
        <v>0</v>
      </c>
      <c r="AU44" s="59">
        <v>2108</v>
      </c>
      <c r="AV44" s="59">
        <v>0</v>
      </c>
      <c r="AW44" s="59">
        <v>0</v>
      </c>
      <c r="AX44" s="59">
        <v>200</v>
      </c>
      <c r="AY44" s="59">
        <v>200</v>
      </c>
      <c r="AZ44" s="59">
        <v>0</v>
      </c>
      <c r="BA44" s="59">
        <v>200</v>
      </c>
      <c r="BB44" s="59">
        <v>280</v>
      </c>
      <c r="BC44" s="59">
        <v>1235</v>
      </c>
    </row>
    <row r="45" spans="2:55" x14ac:dyDescent="0.25">
      <c r="B45" s="83" t="e">
        <f t="shared" ca="1" si="6"/>
        <v>#REF!</v>
      </c>
      <c r="C45" s="60" t="e">
        <f t="shared" ca="1" si="7"/>
        <v>#REF!</v>
      </c>
      <c r="D45" s="59" t="e">
        <f t="shared" ca="1" si="8"/>
        <v>#REF!</v>
      </c>
      <c r="E45" s="82" t="e">
        <f t="shared" si="4"/>
        <v>#N/A</v>
      </c>
      <c r="F45" s="60" t="e">
        <f t="shared" ca="1" si="11"/>
        <v>#N/A</v>
      </c>
      <c r="G45" s="59" t="e">
        <f t="shared" ca="1" si="9"/>
        <v>#REF!</v>
      </c>
      <c r="H45" s="82" t="e">
        <f t="shared" si="5"/>
        <v>#N/A</v>
      </c>
      <c r="I45" s="60" t="e">
        <f t="shared" ca="1" si="10"/>
        <v>#N/A</v>
      </c>
      <c r="J45" s="14" t="s">
        <v>37</v>
      </c>
      <c r="K45" s="1">
        <v>8435</v>
      </c>
      <c r="L45" s="59">
        <v>573.59</v>
      </c>
      <c r="M45" s="59">
        <v>3684.44</v>
      </c>
      <c r="N45" s="59">
        <v>3945.55</v>
      </c>
      <c r="O45" s="59">
        <v>3110.85</v>
      </c>
      <c r="P45" s="59">
        <v>180.86</v>
      </c>
      <c r="Q45" s="59">
        <v>574.87</v>
      </c>
      <c r="R45" s="59">
        <v>299.25</v>
      </c>
      <c r="S45" s="59">
        <v>3983.69</v>
      </c>
      <c r="T45" s="59">
        <v>139.01</v>
      </c>
      <c r="U45" s="59">
        <v>4084.5599999999995</v>
      </c>
      <c r="V45" s="59">
        <v>751.8</v>
      </c>
      <c r="W45" s="59">
        <v>4735.49</v>
      </c>
      <c r="X45" s="59">
        <v>1560.49</v>
      </c>
      <c r="Y45" s="59">
        <v>6295.98</v>
      </c>
      <c r="Z45">
        <v>311.91000000000003</v>
      </c>
      <c r="AA45">
        <v>311.91000000000003</v>
      </c>
      <c r="AB45">
        <v>181.25</v>
      </c>
      <c r="AC45">
        <v>493.16</v>
      </c>
      <c r="AD45">
        <v>516.20000000000005</v>
      </c>
      <c r="AE45">
        <v>1009.36</v>
      </c>
      <c r="AF45" s="79">
        <v>502.21</v>
      </c>
      <c r="AG45" s="79">
        <v>1511.57</v>
      </c>
      <c r="AH45" s="79">
        <v>886.5</v>
      </c>
      <c r="AI45" s="79">
        <v>2398.0700000000002</v>
      </c>
      <c r="AJ45" s="79">
        <v>550.64</v>
      </c>
      <c r="AK45" s="79">
        <v>2948.71</v>
      </c>
      <c r="AL45" s="79">
        <v>421.97</v>
      </c>
      <c r="AM45" s="79">
        <v>3370.68</v>
      </c>
      <c r="AN45">
        <v>573.59</v>
      </c>
      <c r="AO45">
        <v>3684.44</v>
      </c>
      <c r="AP45" s="59">
        <v>45.58</v>
      </c>
      <c r="AQ45" s="59">
        <v>4130.1400000000003</v>
      </c>
      <c r="AR45" s="59">
        <v>244.36</v>
      </c>
      <c r="AS45" s="59">
        <v>4374.5</v>
      </c>
      <c r="AT45" s="59">
        <v>882.46</v>
      </c>
      <c r="AU45" s="59">
        <v>5256.96</v>
      </c>
      <c r="AV45" s="59">
        <v>324.89</v>
      </c>
      <c r="AW45" s="59">
        <v>324.89</v>
      </c>
      <c r="AX45" s="59">
        <v>65.099999999999994</v>
      </c>
      <c r="AY45" s="59">
        <v>389.99</v>
      </c>
      <c r="AZ45" s="59">
        <v>0</v>
      </c>
      <c r="BA45" s="59">
        <v>389.99</v>
      </c>
      <c r="BB45" s="59">
        <v>0</v>
      </c>
      <c r="BC45" s="59">
        <v>1506.38</v>
      </c>
    </row>
    <row r="46" spans="2:55" x14ac:dyDescent="0.25">
      <c r="B46" s="83" t="e">
        <f t="shared" ca="1" si="6"/>
        <v>#REF!</v>
      </c>
      <c r="C46" s="60" t="e">
        <f t="shared" ca="1" si="7"/>
        <v>#REF!</v>
      </c>
      <c r="D46" s="59" t="e">
        <f t="shared" ca="1" si="8"/>
        <v>#REF!</v>
      </c>
      <c r="E46" s="82" t="e">
        <f t="shared" si="4"/>
        <v>#N/A</v>
      </c>
      <c r="F46" s="60" t="e">
        <f t="shared" ca="1" si="11"/>
        <v>#N/A</v>
      </c>
      <c r="G46" s="59" t="e">
        <f t="shared" ca="1" si="9"/>
        <v>#REF!</v>
      </c>
      <c r="H46" s="82" t="e">
        <f t="shared" si="5"/>
        <v>#N/A</v>
      </c>
      <c r="I46" s="60" t="e">
        <f t="shared" ca="1" si="10"/>
        <v>#N/A</v>
      </c>
      <c r="J46" s="14" t="s">
        <v>38</v>
      </c>
      <c r="K46" s="1">
        <v>8440</v>
      </c>
      <c r="L46" s="59">
        <v>368.91</v>
      </c>
      <c r="M46" s="59">
        <v>5432.56</v>
      </c>
      <c r="N46" s="59">
        <v>7086.65</v>
      </c>
      <c r="O46" s="59">
        <v>5063.6499999999996</v>
      </c>
      <c r="P46" s="59">
        <v>507.84</v>
      </c>
      <c r="Q46" s="59">
        <v>1148.57</v>
      </c>
      <c r="R46" s="59">
        <v>426.32</v>
      </c>
      <c r="S46" s="59">
        <v>5858.88</v>
      </c>
      <c r="T46" s="59">
        <v>476.02</v>
      </c>
      <c r="U46" s="59">
        <v>7562.67</v>
      </c>
      <c r="V46" s="59">
        <v>457.8</v>
      </c>
      <c r="W46" s="59">
        <v>6316.68</v>
      </c>
      <c r="X46" s="59">
        <v>1877.36</v>
      </c>
      <c r="Y46" s="59">
        <v>8194.0400000000009</v>
      </c>
      <c r="Z46">
        <v>860.04</v>
      </c>
      <c r="AA46">
        <v>860.04</v>
      </c>
      <c r="AB46">
        <v>401.99</v>
      </c>
      <c r="AC46">
        <v>1262.03</v>
      </c>
      <c r="AD46">
        <v>435.01</v>
      </c>
      <c r="AE46">
        <v>1697.04</v>
      </c>
      <c r="AF46" s="79">
        <v>439.3</v>
      </c>
      <c r="AG46" s="79">
        <v>2136.34</v>
      </c>
      <c r="AH46" s="79">
        <v>397.77</v>
      </c>
      <c r="AI46" s="79">
        <v>2534.11</v>
      </c>
      <c r="AJ46" s="79">
        <v>2040.34</v>
      </c>
      <c r="AK46" s="79">
        <v>4574.45</v>
      </c>
      <c r="AL46" s="79">
        <v>1363.63</v>
      </c>
      <c r="AM46" s="79">
        <v>5938.08</v>
      </c>
      <c r="AN46">
        <v>368.91</v>
      </c>
      <c r="AO46">
        <v>5432.56</v>
      </c>
      <c r="AP46" s="59">
        <v>599.57000000000005</v>
      </c>
      <c r="AQ46" s="59">
        <v>8162.24</v>
      </c>
      <c r="AR46" s="59">
        <v>854.77</v>
      </c>
      <c r="AS46" s="59">
        <v>9017.01</v>
      </c>
      <c r="AT46" s="59">
        <v>1112.82</v>
      </c>
      <c r="AU46" s="59">
        <v>10129.83</v>
      </c>
      <c r="AV46" s="59">
        <v>736.4</v>
      </c>
      <c r="AW46" s="59">
        <v>736.4</v>
      </c>
      <c r="AX46" s="59">
        <v>548.17999999999995</v>
      </c>
      <c r="AY46" s="59">
        <v>1284.58</v>
      </c>
      <c r="AZ46" s="59">
        <v>511.43</v>
      </c>
      <c r="BA46" s="59">
        <v>1796.01</v>
      </c>
      <c r="BB46" s="59">
        <v>362.63</v>
      </c>
      <c r="BC46" s="59">
        <v>6218.89</v>
      </c>
    </row>
    <row r="47" spans="2:55" x14ac:dyDescent="0.25">
      <c r="B47" s="83" t="e">
        <f t="shared" ca="1" si="6"/>
        <v>#REF!</v>
      </c>
      <c r="C47" s="60" t="e">
        <f t="shared" ca="1" si="7"/>
        <v>#REF!</v>
      </c>
      <c r="D47" s="59" t="e">
        <f t="shared" ca="1" si="8"/>
        <v>#REF!</v>
      </c>
      <c r="E47" s="82" t="e">
        <f t="shared" si="4"/>
        <v>#N/A</v>
      </c>
      <c r="F47" s="60" t="e">
        <f t="shared" ca="1" si="11"/>
        <v>#N/A</v>
      </c>
      <c r="G47" s="59" t="e">
        <f t="shared" ca="1" si="9"/>
        <v>#REF!</v>
      </c>
      <c r="H47" s="82" t="e">
        <f t="shared" si="5"/>
        <v>#N/A</v>
      </c>
      <c r="I47" s="60" t="e">
        <f t="shared" ca="1" si="10"/>
        <v>#N/A</v>
      </c>
      <c r="K47" s="1">
        <v>9999</v>
      </c>
      <c r="L47" s="59" t="s">
        <v>83</v>
      </c>
      <c r="M47" s="59"/>
      <c r="N47" s="59"/>
      <c r="O47" s="59"/>
      <c r="P47" s="59"/>
      <c r="Q47" s="59"/>
      <c r="R47" s="59"/>
      <c r="S47" s="59"/>
      <c r="T47" s="59"/>
      <c r="U47" s="59"/>
      <c r="V47" s="76"/>
      <c r="W47" s="76"/>
      <c r="AJ47" s="79"/>
      <c r="AK47" s="79"/>
      <c r="AL47" s="79"/>
      <c r="AM47" s="79"/>
      <c r="AN47" t="s">
        <v>83</v>
      </c>
      <c r="AP47" s="59"/>
      <c r="AQ47" s="59"/>
    </row>
  </sheetData>
  <conditionalFormatting sqref="I8:I47 F8:F47 C8:C47">
    <cfRule type="cellIs" dxfId="49" priority="8" operator="notBetween">
      <formula>-0.005</formula>
      <formula>0.005</formula>
    </cfRule>
    <cfRule type="cellIs" dxfId="48" priority="9" operator="between">
      <formula>-0.005</formula>
      <formula>0.005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39997558519241921"/>
    <pageSetUpPr fitToPage="1"/>
  </sheetPr>
  <dimension ref="A1:S70"/>
  <sheetViews>
    <sheetView zoomScaleNormal="100" workbookViewId="0">
      <pane ySplit="1575" topLeftCell="A31" activePane="bottomLeft"/>
      <selection activeCell="G1" sqref="G1:G1048576"/>
      <selection pane="bottomLeft" activeCell="A58" sqref="A11:B58"/>
    </sheetView>
  </sheetViews>
  <sheetFormatPr defaultRowHeight="12.75" customHeight="1" x14ac:dyDescent="0.2"/>
  <cols>
    <col min="1" max="1" width="9.140625" style="5"/>
    <col min="2" max="2" width="30.28515625" style="5" customWidth="1"/>
    <col min="3" max="3" width="10.85546875" style="5" bestFit="1" customWidth="1"/>
    <col min="4" max="4" width="11" style="25" bestFit="1" customWidth="1"/>
    <col min="5" max="5" width="10.28515625" style="25" bestFit="1" customWidth="1"/>
    <col min="6" max="6" width="12.42578125" style="5" bestFit="1" customWidth="1"/>
    <col min="7" max="7" width="11.7109375" style="5" customWidth="1"/>
    <col min="8" max="8" width="9.5703125" style="6" bestFit="1" customWidth="1"/>
    <col min="9" max="9" width="12.42578125" style="5" bestFit="1" customWidth="1"/>
    <col min="10" max="10" width="12" style="5" bestFit="1" customWidth="1"/>
    <col min="11" max="14" width="9.140625" style="5"/>
    <col min="15" max="18" width="12.7109375" style="5" customWidth="1"/>
    <col min="19" max="19" width="10.28515625" style="5" bestFit="1" customWidth="1"/>
    <col min="20" max="251" width="9.140625" style="5"/>
    <col min="252" max="252" width="30.28515625" style="5" customWidth="1"/>
    <col min="253" max="253" width="9.7109375" style="5" customWidth="1"/>
    <col min="254" max="254" width="9.28515625" style="5" bestFit="1" customWidth="1"/>
    <col min="255" max="257" width="10.28515625" style="5" bestFit="1" customWidth="1"/>
    <col min="258" max="258" width="9.5703125" style="5" bestFit="1" customWidth="1"/>
    <col min="259" max="259" width="9.28515625" style="5" bestFit="1" customWidth="1"/>
    <col min="260" max="260" width="9.5703125" style="5" bestFit="1" customWidth="1"/>
    <col min="261" max="507" width="9.140625" style="5"/>
    <col min="508" max="508" width="30.28515625" style="5" customWidth="1"/>
    <col min="509" max="509" width="9.7109375" style="5" customWidth="1"/>
    <col min="510" max="510" width="9.28515625" style="5" bestFit="1" customWidth="1"/>
    <col min="511" max="513" width="10.28515625" style="5" bestFit="1" customWidth="1"/>
    <col min="514" max="514" width="9.5703125" style="5" bestFit="1" customWidth="1"/>
    <col min="515" max="515" width="9.28515625" style="5" bestFit="1" customWidth="1"/>
    <col min="516" max="516" width="9.5703125" style="5" bestFit="1" customWidth="1"/>
    <col min="517" max="763" width="9.140625" style="5"/>
    <col min="764" max="764" width="30.28515625" style="5" customWidth="1"/>
    <col min="765" max="765" width="9.7109375" style="5" customWidth="1"/>
    <col min="766" max="766" width="9.28515625" style="5" bestFit="1" customWidth="1"/>
    <col min="767" max="769" width="10.28515625" style="5" bestFit="1" customWidth="1"/>
    <col min="770" max="770" width="9.5703125" style="5" bestFit="1" customWidth="1"/>
    <col min="771" max="771" width="9.28515625" style="5" bestFit="1" customWidth="1"/>
    <col min="772" max="772" width="9.5703125" style="5" bestFit="1" customWidth="1"/>
    <col min="773" max="1019" width="9.140625" style="5"/>
    <col min="1020" max="1020" width="30.28515625" style="5" customWidth="1"/>
    <col min="1021" max="1021" width="9.7109375" style="5" customWidth="1"/>
    <col min="1022" max="1022" width="9.28515625" style="5" bestFit="1" customWidth="1"/>
    <col min="1023" max="1025" width="10.28515625" style="5" bestFit="1" customWidth="1"/>
    <col min="1026" max="1026" width="9.5703125" style="5" bestFit="1" customWidth="1"/>
    <col min="1027" max="1027" width="9.28515625" style="5" bestFit="1" customWidth="1"/>
    <col min="1028" max="1028" width="9.5703125" style="5" bestFit="1" customWidth="1"/>
    <col min="1029" max="1275" width="9.140625" style="5"/>
    <col min="1276" max="1276" width="30.28515625" style="5" customWidth="1"/>
    <col min="1277" max="1277" width="9.7109375" style="5" customWidth="1"/>
    <col min="1278" max="1278" width="9.28515625" style="5" bestFit="1" customWidth="1"/>
    <col min="1279" max="1281" width="10.28515625" style="5" bestFit="1" customWidth="1"/>
    <col min="1282" max="1282" width="9.5703125" style="5" bestFit="1" customWidth="1"/>
    <col min="1283" max="1283" width="9.28515625" style="5" bestFit="1" customWidth="1"/>
    <col min="1284" max="1284" width="9.5703125" style="5" bestFit="1" customWidth="1"/>
    <col min="1285" max="1531" width="9.140625" style="5"/>
    <col min="1532" max="1532" width="30.28515625" style="5" customWidth="1"/>
    <col min="1533" max="1533" width="9.7109375" style="5" customWidth="1"/>
    <col min="1534" max="1534" width="9.28515625" style="5" bestFit="1" customWidth="1"/>
    <col min="1535" max="1537" width="10.28515625" style="5" bestFit="1" customWidth="1"/>
    <col min="1538" max="1538" width="9.5703125" style="5" bestFit="1" customWidth="1"/>
    <col min="1539" max="1539" width="9.28515625" style="5" bestFit="1" customWidth="1"/>
    <col min="1540" max="1540" width="9.5703125" style="5" bestFit="1" customWidth="1"/>
    <col min="1541" max="1787" width="9.140625" style="5"/>
    <col min="1788" max="1788" width="30.28515625" style="5" customWidth="1"/>
    <col min="1789" max="1789" width="9.7109375" style="5" customWidth="1"/>
    <col min="1790" max="1790" width="9.28515625" style="5" bestFit="1" customWidth="1"/>
    <col min="1791" max="1793" width="10.28515625" style="5" bestFit="1" customWidth="1"/>
    <col min="1794" max="1794" width="9.5703125" style="5" bestFit="1" customWidth="1"/>
    <col min="1795" max="1795" width="9.28515625" style="5" bestFit="1" customWidth="1"/>
    <col min="1796" max="1796" width="9.5703125" style="5" bestFit="1" customWidth="1"/>
    <col min="1797" max="2043" width="9.140625" style="5"/>
    <col min="2044" max="2044" width="30.28515625" style="5" customWidth="1"/>
    <col min="2045" max="2045" width="9.7109375" style="5" customWidth="1"/>
    <col min="2046" max="2046" width="9.28515625" style="5" bestFit="1" customWidth="1"/>
    <col min="2047" max="2049" width="10.28515625" style="5" bestFit="1" customWidth="1"/>
    <col min="2050" max="2050" width="9.5703125" style="5" bestFit="1" customWidth="1"/>
    <col min="2051" max="2051" width="9.28515625" style="5" bestFit="1" customWidth="1"/>
    <col min="2052" max="2052" width="9.5703125" style="5" bestFit="1" customWidth="1"/>
    <col min="2053" max="2299" width="9.140625" style="5"/>
    <col min="2300" max="2300" width="30.28515625" style="5" customWidth="1"/>
    <col min="2301" max="2301" width="9.7109375" style="5" customWidth="1"/>
    <col min="2302" max="2302" width="9.28515625" style="5" bestFit="1" customWidth="1"/>
    <col min="2303" max="2305" width="10.28515625" style="5" bestFit="1" customWidth="1"/>
    <col min="2306" max="2306" width="9.5703125" style="5" bestFit="1" customWidth="1"/>
    <col min="2307" max="2307" width="9.28515625" style="5" bestFit="1" customWidth="1"/>
    <col min="2308" max="2308" width="9.5703125" style="5" bestFit="1" customWidth="1"/>
    <col min="2309" max="2555" width="9.140625" style="5"/>
    <col min="2556" max="2556" width="30.28515625" style="5" customWidth="1"/>
    <col min="2557" max="2557" width="9.7109375" style="5" customWidth="1"/>
    <col min="2558" max="2558" width="9.28515625" style="5" bestFit="1" customWidth="1"/>
    <col min="2559" max="2561" width="10.28515625" style="5" bestFit="1" customWidth="1"/>
    <col min="2562" max="2562" width="9.5703125" style="5" bestFit="1" customWidth="1"/>
    <col min="2563" max="2563" width="9.28515625" style="5" bestFit="1" customWidth="1"/>
    <col min="2564" max="2564" width="9.5703125" style="5" bestFit="1" customWidth="1"/>
    <col min="2565" max="2811" width="9.140625" style="5"/>
    <col min="2812" max="2812" width="30.28515625" style="5" customWidth="1"/>
    <col min="2813" max="2813" width="9.7109375" style="5" customWidth="1"/>
    <col min="2814" max="2814" width="9.28515625" style="5" bestFit="1" customWidth="1"/>
    <col min="2815" max="2817" width="10.28515625" style="5" bestFit="1" customWidth="1"/>
    <col min="2818" max="2818" width="9.5703125" style="5" bestFit="1" customWidth="1"/>
    <col min="2819" max="2819" width="9.28515625" style="5" bestFit="1" customWidth="1"/>
    <col min="2820" max="2820" width="9.5703125" style="5" bestFit="1" customWidth="1"/>
    <col min="2821" max="3067" width="9.140625" style="5"/>
    <col min="3068" max="3068" width="30.28515625" style="5" customWidth="1"/>
    <col min="3069" max="3069" width="9.7109375" style="5" customWidth="1"/>
    <col min="3070" max="3070" width="9.28515625" style="5" bestFit="1" customWidth="1"/>
    <col min="3071" max="3073" width="10.28515625" style="5" bestFit="1" customWidth="1"/>
    <col min="3074" max="3074" width="9.5703125" style="5" bestFit="1" customWidth="1"/>
    <col min="3075" max="3075" width="9.28515625" style="5" bestFit="1" customWidth="1"/>
    <col min="3076" max="3076" width="9.5703125" style="5" bestFit="1" customWidth="1"/>
    <col min="3077" max="3323" width="9.140625" style="5"/>
    <col min="3324" max="3324" width="30.28515625" style="5" customWidth="1"/>
    <col min="3325" max="3325" width="9.7109375" style="5" customWidth="1"/>
    <col min="3326" max="3326" width="9.28515625" style="5" bestFit="1" customWidth="1"/>
    <col min="3327" max="3329" width="10.28515625" style="5" bestFit="1" customWidth="1"/>
    <col min="3330" max="3330" width="9.5703125" style="5" bestFit="1" customWidth="1"/>
    <col min="3331" max="3331" width="9.28515625" style="5" bestFit="1" customWidth="1"/>
    <col min="3332" max="3332" width="9.5703125" style="5" bestFit="1" customWidth="1"/>
    <col min="3333" max="3579" width="9.140625" style="5"/>
    <col min="3580" max="3580" width="30.28515625" style="5" customWidth="1"/>
    <col min="3581" max="3581" width="9.7109375" style="5" customWidth="1"/>
    <col min="3582" max="3582" width="9.28515625" style="5" bestFit="1" customWidth="1"/>
    <col min="3583" max="3585" width="10.28515625" style="5" bestFit="1" customWidth="1"/>
    <col min="3586" max="3586" width="9.5703125" style="5" bestFit="1" customWidth="1"/>
    <col min="3587" max="3587" width="9.28515625" style="5" bestFit="1" customWidth="1"/>
    <col min="3588" max="3588" width="9.5703125" style="5" bestFit="1" customWidth="1"/>
    <col min="3589" max="3835" width="9.140625" style="5"/>
    <col min="3836" max="3836" width="30.28515625" style="5" customWidth="1"/>
    <col min="3837" max="3837" width="9.7109375" style="5" customWidth="1"/>
    <col min="3838" max="3838" width="9.28515625" style="5" bestFit="1" customWidth="1"/>
    <col min="3839" max="3841" width="10.28515625" style="5" bestFit="1" customWidth="1"/>
    <col min="3842" max="3842" width="9.5703125" style="5" bestFit="1" customWidth="1"/>
    <col min="3843" max="3843" width="9.28515625" style="5" bestFit="1" customWidth="1"/>
    <col min="3844" max="3844" width="9.5703125" style="5" bestFit="1" customWidth="1"/>
    <col min="3845" max="4091" width="9.140625" style="5"/>
    <col min="4092" max="4092" width="30.28515625" style="5" customWidth="1"/>
    <col min="4093" max="4093" width="9.7109375" style="5" customWidth="1"/>
    <col min="4094" max="4094" width="9.28515625" style="5" bestFit="1" customWidth="1"/>
    <col min="4095" max="4097" width="10.28515625" style="5" bestFit="1" customWidth="1"/>
    <col min="4098" max="4098" width="9.5703125" style="5" bestFit="1" customWidth="1"/>
    <col min="4099" max="4099" width="9.28515625" style="5" bestFit="1" customWidth="1"/>
    <col min="4100" max="4100" width="9.5703125" style="5" bestFit="1" customWidth="1"/>
    <col min="4101" max="4347" width="9.140625" style="5"/>
    <col min="4348" max="4348" width="30.28515625" style="5" customWidth="1"/>
    <col min="4349" max="4349" width="9.7109375" style="5" customWidth="1"/>
    <col min="4350" max="4350" width="9.28515625" style="5" bestFit="1" customWidth="1"/>
    <col min="4351" max="4353" width="10.28515625" style="5" bestFit="1" customWidth="1"/>
    <col min="4354" max="4354" width="9.5703125" style="5" bestFit="1" customWidth="1"/>
    <col min="4355" max="4355" width="9.28515625" style="5" bestFit="1" customWidth="1"/>
    <col min="4356" max="4356" width="9.5703125" style="5" bestFit="1" customWidth="1"/>
    <col min="4357" max="4603" width="9.140625" style="5"/>
    <col min="4604" max="4604" width="30.28515625" style="5" customWidth="1"/>
    <col min="4605" max="4605" width="9.7109375" style="5" customWidth="1"/>
    <col min="4606" max="4606" width="9.28515625" style="5" bestFit="1" customWidth="1"/>
    <col min="4607" max="4609" width="10.28515625" style="5" bestFit="1" customWidth="1"/>
    <col min="4610" max="4610" width="9.5703125" style="5" bestFit="1" customWidth="1"/>
    <col min="4611" max="4611" width="9.28515625" style="5" bestFit="1" customWidth="1"/>
    <col min="4612" max="4612" width="9.5703125" style="5" bestFit="1" customWidth="1"/>
    <col min="4613" max="4859" width="9.140625" style="5"/>
    <col min="4860" max="4860" width="30.28515625" style="5" customWidth="1"/>
    <col min="4861" max="4861" width="9.7109375" style="5" customWidth="1"/>
    <col min="4862" max="4862" width="9.28515625" style="5" bestFit="1" customWidth="1"/>
    <col min="4863" max="4865" width="10.28515625" style="5" bestFit="1" customWidth="1"/>
    <col min="4866" max="4866" width="9.5703125" style="5" bestFit="1" customWidth="1"/>
    <col min="4867" max="4867" width="9.28515625" style="5" bestFit="1" customWidth="1"/>
    <col min="4868" max="4868" width="9.5703125" style="5" bestFit="1" customWidth="1"/>
    <col min="4869" max="5115" width="9.140625" style="5"/>
    <col min="5116" max="5116" width="30.28515625" style="5" customWidth="1"/>
    <col min="5117" max="5117" width="9.7109375" style="5" customWidth="1"/>
    <col min="5118" max="5118" width="9.28515625" style="5" bestFit="1" customWidth="1"/>
    <col min="5119" max="5121" width="10.28515625" style="5" bestFit="1" customWidth="1"/>
    <col min="5122" max="5122" width="9.5703125" style="5" bestFit="1" customWidth="1"/>
    <col min="5123" max="5123" width="9.28515625" style="5" bestFit="1" customWidth="1"/>
    <col min="5124" max="5124" width="9.5703125" style="5" bestFit="1" customWidth="1"/>
    <col min="5125" max="5371" width="9.140625" style="5"/>
    <col min="5372" max="5372" width="30.28515625" style="5" customWidth="1"/>
    <col min="5373" max="5373" width="9.7109375" style="5" customWidth="1"/>
    <col min="5374" max="5374" width="9.28515625" style="5" bestFit="1" customWidth="1"/>
    <col min="5375" max="5377" width="10.28515625" style="5" bestFit="1" customWidth="1"/>
    <col min="5378" max="5378" width="9.5703125" style="5" bestFit="1" customWidth="1"/>
    <col min="5379" max="5379" width="9.28515625" style="5" bestFit="1" customWidth="1"/>
    <col min="5380" max="5380" width="9.5703125" style="5" bestFit="1" customWidth="1"/>
    <col min="5381" max="5627" width="9.140625" style="5"/>
    <col min="5628" max="5628" width="30.28515625" style="5" customWidth="1"/>
    <col min="5629" max="5629" width="9.7109375" style="5" customWidth="1"/>
    <col min="5630" max="5630" width="9.28515625" style="5" bestFit="1" customWidth="1"/>
    <col min="5631" max="5633" width="10.28515625" style="5" bestFit="1" customWidth="1"/>
    <col min="5634" max="5634" width="9.5703125" style="5" bestFit="1" customWidth="1"/>
    <col min="5635" max="5635" width="9.28515625" style="5" bestFit="1" customWidth="1"/>
    <col min="5636" max="5636" width="9.5703125" style="5" bestFit="1" customWidth="1"/>
    <col min="5637" max="5883" width="9.140625" style="5"/>
    <col min="5884" max="5884" width="30.28515625" style="5" customWidth="1"/>
    <col min="5885" max="5885" width="9.7109375" style="5" customWidth="1"/>
    <col min="5886" max="5886" width="9.28515625" style="5" bestFit="1" customWidth="1"/>
    <col min="5887" max="5889" width="10.28515625" style="5" bestFit="1" customWidth="1"/>
    <col min="5890" max="5890" width="9.5703125" style="5" bestFit="1" customWidth="1"/>
    <col min="5891" max="5891" width="9.28515625" style="5" bestFit="1" customWidth="1"/>
    <col min="5892" max="5892" width="9.5703125" style="5" bestFit="1" customWidth="1"/>
    <col min="5893" max="6139" width="9.140625" style="5"/>
    <col min="6140" max="6140" width="30.28515625" style="5" customWidth="1"/>
    <col min="6141" max="6141" width="9.7109375" style="5" customWidth="1"/>
    <col min="6142" max="6142" width="9.28515625" style="5" bestFit="1" customWidth="1"/>
    <col min="6143" max="6145" width="10.28515625" style="5" bestFit="1" customWidth="1"/>
    <col min="6146" max="6146" width="9.5703125" style="5" bestFit="1" customWidth="1"/>
    <col min="6147" max="6147" width="9.28515625" style="5" bestFit="1" customWidth="1"/>
    <col min="6148" max="6148" width="9.5703125" style="5" bestFit="1" customWidth="1"/>
    <col min="6149" max="6395" width="9.140625" style="5"/>
    <col min="6396" max="6396" width="30.28515625" style="5" customWidth="1"/>
    <col min="6397" max="6397" width="9.7109375" style="5" customWidth="1"/>
    <col min="6398" max="6398" width="9.28515625" style="5" bestFit="1" customWidth="1"/>
    <col min="6399" max="6401" width="10.28515625" style="5" bestFit="1" customWidth="1"/>
    <col min="6402" max="6402" width="9.5703125" style="5" bestFit="1" customWidth="1"/>
    <col min="6403" max="6403" width="9.28515625" style="5" bestFit="1" customWidth="1"/>
    <col min="6404" max="6404" width="9.5703125" style="5" bestFit="1" customWidth="1"/>
    <col min="6405" max="6651" width="9.140625" style="5"/>
    <col min="6652" max="6652" width="30.28515625" style="5" customWidth="1"/>
    <col min="6653" max="6653" width="9.7109375" style="5" customWidth="1"/>
    <col min="6654" max="6654" width="9.28515625" style="5" bestFit="1" customWidth="1"/>
    <col min="6655" max="6657" width="10.28515625" style="5" bestFit="1" customWidth="1"/>
    <col min="6658" max="6658" width="9.5703125" style="5" bestFit="1" customWidth="1"/>
    <col min="6659" max="6659" width="9.28515625" style="5" bestFit="1" customWidth="1"/>
    <col min="6660" max="6660" width="9.5703125" style="5" bestFit="1" customWidth="1"/>
    <col min="6661" max="6907" width="9.140625" style="5"/>
    <col min="6908" max="6908" width="30.28515625" style="5" customWidth="1"/>
    <col min="6909" max="6909" width="9.7109375" style="5" customWidth="1"/>
    <col min="6910" max="6910" width="9.28515625" style="5" bestFit="1" customWidth="1"/>
    <col min="6911" max="6913" width="10.28515625" style="5" bestFit="1" customWidth="1"/>
    <col min="6914" max="6914" width="9.5703125" style="5" bestFit="1" customWidth="1"/>
    <col min="6915" max="6915" width="9.28515625" style="5" bestFit="1" customWidth="1"/>
    <col min="6916" max="6916" width="9.5703125" style="5" bestFit="1" customWidth="1"/>
    <col min="6917" max="7163" width="9.140625" style="5"/>
    <col min="7164" max="7164" width="30.28515625" style="5" customWidth="1"/>
    <col min="7165" max="7165" width="9.7109375" style="5" customWidth="1"/>
    <col min="7166" max="7166" width="9.28515625" style="5" bestFit="1" customWidth="1"/>
    <col min="7167" max="7169" width="10.28515625" style="5" bestFit="1" customWidth="1"/>
    <col min="7170" max="7170" width="9.5703125" style="5" bestFit="1" customWidth="1"/>
    <col min="7171" max="7171" width="9.28515625" style="5" bestFit="1" customWidth="1"/>
    <col min="7172" max="7172" width="9.5703125" style="5" bestFit="1" customWidth="1"/>
    <col min="7173" max="7419" width="9.140625" style="5"/>
    <col min="7420" max="7420" width="30.28515625" style="5" customWidth="1"/>
    <col min="7421" max="7421" width="9.7109375" style="5" customWidth="1"/>
    <col min="7422" max="7422" width="9.28515625" style="5" bestFit="1" customWidth="1"/>
    <col min="7423" max="7425" width="10.28515625" style="5" bestFit="1" customWidth="1"/>
    <col min="7426" max="7426" width="9.5703125" style="5" bestFit="1" customWidth="1"/>
    <col min="7427" max="7427" width="9.28515625" style="5" bestFit="1" customWidth="1"/>
    <col min="7428" max="7428" width="9.5703125" style="5" bestFit="1" customWidth="1"/>
    <col min="7429" max="7675" width="9.140625" style="5"/>
    <col min="7676" max="7676" width="30.28515625" style="5" customWidth="1"/>
    <col min="7677" max="7677" width="9.7109375" style="5" customWidth="1"/>
    <col min="7678" max="7678" width="9.28515625" style="5" bestFit="1" customWidth="1"/>
    <col min="7679" max="7681" width="10.28515625" style="5" bestFit="1" customWidth="1"/>
    <col min="7682" max="7682" width="9.5703125" style="5" bestFit="1" customWidth="1"/>
    <col min="7683" max="7683" width="9.28515625" style="5" bestFit="1" customWidth="1"/>
    <col min="7684" max="7684" width="9.5703125" style="5" bestFit="1" customWidth="1"/>
    <col min="7685" max="7931" width="9.140625" style="5"/>
    <col min="7932" max="7932" width="30.28515625" style="5" customWidth="1"/>
    <col min="7933" max="7933" width="9.7109375" style="5" customWidth="1"/>
    <col min="7934" max="7934" width="9.28515625" style="5" bestFit="1" customWidth="1"/>
    <col min="7935" max="7937" width="10.28515625" style="5" bestFit="1" customWidth="1"/>
    <col min="7938" max="7938" width="9.5703125" style="5" bestFit="1" customWidth="1"/>
    <col min="7939" max="7939" width="9.28515625" style="5" bestFit="1" customWidth="1"/>
    <col min="7940" max="7940" width="9.5703125" style="5" bestFit="1" customWidth="1"/>
    <col min="7941" max="8187" width="9.140625" style="5"/>
    <col min="8188" max="8188" width="30.28515625" style="5" customWidth="1"/>
    <col min="8189" max="8189" width="9.7109375" style="5" customWidth="1"/>
    <col min="8190" max="8190" width="9.28515625" style="5" bestFit="1" customWidth="1"/>
    <col min="8191" max="8193" width="10.28515625" style="5" bestFit="1" customWidth="1"/>
    <col min="8194" max="8194" width="9.5703125" style="5" bestFit="1" customWidth="1"/>
    <col min="8195" max="8195" width="9.28515625" style="5" bestFit="1" customWidth="1"/>
    <col min="8196" max="8196" width="9.5703125" style="5" bestFit="1" customWidth="1"/>
    <col min="8197" max="8443" width="9.140625" style="5"/>
    <col min="8444" max="8444" width="30.28515625" style="5" customWidth="1"/>
    <col min="8445" max="8445" width="9.7109375" style="5" customWidth="1"/>
    <col min="8446" max="8446" width="9.28515625" style="5" bestFit="1" customWidth="1"/>
    <col min="8447" max="8449" width="10.28515625" style="5" bestFit="1" customWidth="1"/>
    <col min="8450" max="8450" width="9.5703125" style="5" bestFit="1" customWidth="1"/>
    <col min="8451" max="8451" width="9.28515625" style="5" bestFit="1" customWidth="1"/>
    <col min="8452" max="8452" width="9.5703125" style="5" bestFit="1" customWidth="1"/>
    <col min="8453" max="8699" width="9.140625" style="5"/>
    <col min="8700" max="8700" width="30.28515625" style="5" customWidth="1"/>
    <col min="8701" max="8701" width="9.7109375" style="5" customWidth="1"/>
    <col min="8702" max="8702" width="9.28515625" style="5" bestFit="1" customWidth="1"/>
    <col min="8703" max="8705" width="10.28515625" style="5" bestFit="1" customWidth="1"/>
    <col min="8706" max="8706" width="9.5703125" style="5" bestFit="1" customWidth="1"/>
    <col min="8707" max="8707" width="9.28515625" style="5" bestFit="1" customWidth="1"/>
    <col min="8708" max="8708" width="9.5703125" style="5" bestFit="1" customWidth="1"/>
    <col min="8709" max="8955" width="9.140625" style="5"/>
    <col min="8956" max="8956" width="30.28515625" style="5" customWidth="1"/>
    <col min="8957" max="8957" width="9.7109375" style="5" customWidth="1"/>
    <col min="8958" max="8958" width="9.28515625" style="5" bestFit="1" customWidth="1"/>
    <col min="8959" max="8961" width="10.28515625" style="5" bestFit="1" customWidth="1"/>
    <col min="8962" max="8962" width="9.5703125" style="5" bestFit="1" customWidth="1"/>
    <col min="8963" max="8963" width="9.28515625" style="5" bestFit="1" customWidth="1"/>
    <col min="8964" max="8964" width="9.5703125" style="5" bestFit="1" customWidth="1"/>
    <col min="8965" max="9211" width="9.140625" style="5"/>
    <col min="9212" max="9212" width="30.28515625" style="5" customWidth="1"/>
    <col min="9213" max="9213" width="9.7109375" style="5" customWidth="1"/>
    <col min="9214" max="9214" width="9.28515625" style="5" bestFit="1" customWidth="1"/>
    <col min="9215" max="9217" width="10.28515625" style="5" bestFit="1" customWidth="1"/>
    <col min="9218" max="9218" width="9.5703125" style="5" bestFit="1" customWidth="1"/>
    <col min="9219" max="9219" width="9.28515625" style="5" bestFit="1" customWidth="1"/>
    <col min="9220" max="9220" width="9.5703125" style="5" bestFit="1" customWidth="1"/>
    <col min="9221" max="9467" width="9.140625" style="5"/>
    <col min="9468" max="9468" width="30.28515625" style="5" customWidth="1"/>
    <col min="9469" max="9469" width="9.7109375" style="5" customWidth="1"/>
    <col min="9470" max="9470" width="9.28515625" style="5" bestFit="1" customWidth="1"/>
    <col min="9471" max="9473" width="10.28515625" style="5" bestFit="1" customWidth="1"/>
    <col min="9474" max="9474" width="9.5703125" style="5" bestFit="1" customWidth="1"/>
    <col min="9475" max="9475" width="9.28515625" style="5" bestFit="1" customWidth="1"/>
    <col min="9476" max="9476" width="9.5703125" style="5" bestFit="1" customWidth="1"/>
    <col min="9477" max="9723" width="9.140625" style="5"/>
    <col min="9724" max="9724" width="30.28515625" style="5" customWidth="1"/>
    <col min="9725" max="9725" width="9.7109375" style="5" customWidth="1"/>
    <col min="9726" max="9726" width="9.28515625" style="5" bestFit="1" customWidth="1"/>
    <col min="9727" max="9729" width="10.28515625" style="5" bestFit="1" customWidth="1"/>
    <col min="9730" max="9730" width="9.5703125" style="5" bestFit="1" customWidth="1"/>
    <col min="9731" max="9731" width="9.28515625" style="5" bestFit="1" customWidth="1"/>
    <col min="9732" max="9732" width="9.5703125" style="5" bestFit="1" customWidth="1"/>
    <col min="9733" max="9979" width="9.140625" style="5"/>
    <col min="9980" max="9980" width="30.28515625" style="5" customWidth="1"/>
    <col min="9981" max="9981" width="9.7109375" style="5" customWidth="1"/>
    <col min="9982" max="9982" width="9.28515625" style="5" bestFit="1" customWidth="1"/>
    <col min="9983" max="9985" width="10.28515625" style="5" bestFit="1" customWidth="1"/>
    <col min="9986" max="9986" width="9.5703125" style="5" bestFit="1" customWidth="1"/>
    <col min="9987" max="9987" width="9.28515625" style="5" bestFit="1" customWidth="1"/>
    <col min="9988" max="9988" width="9.5703125" style="5" bestFit="1" customWidth="1"/>
    <col min="9989" max="10235" width="9.140625" style="5"/>
    <col min="10236" max="10236" width="30.28515625" style="5" customWidth="1"/>
    <col min="10237" max="10237" width="9.7109375" style="5" customWidth="1"/>
    <col min="10238" max="10238" width="9.28515625" style="5" bestFit="1" customWidth="1"/>
    <col min="10239" max="10241" width="10.28515625" style="5" bestFit="1" customWidth="1"/>
    <col min="10242" max="10242" width="9.5703125" style="5" bestFit="1" customWidth="1"/>
    <col min="10243" max="10243" width="9.28515625" style="5" bestFit="1" customWidth="1"/>
    <col min="10244" max="10244" width="9.5703125" style="5" bestFit="1" customWidth="1"/>
    <col min="10245" max="10491" width="9.140625" style="5"/>
    <col min="10492" max="10492" width="30.28515625" style="5" customWidth="1"/>
    <col min="10493" max="10493" width="9.7109375" style="5" customWidth="1"/>
    <col min="10494" max="10494" width="9.28515625" style="5" bestFit="1" customWidth="1"/>
    <col min="10495" max="10497" width="10.28515625" style="5" bestFit="1" customWidth="1"/>
    <col min="10498" max="10498" width="9.5703125" style="5" bestFit="1" customWidth="1"/>
    <col min="10499" max="10499" width="9.28515625" style="5" bestFit="1" customWidth="1"/>
    <col min="10500" max="10500" width="9.5703125" style="5" bestFit="1" customWidth="1"/>
    <col min="10501" max="10747" width="9.140625" style="5"/>
    <col min="10748" max="10748" width="30.28515625" style="5" customWidth="1"/>
    <col min="10749" max="10749" width="9.7109375" style="5" customWidth="1"/>
    <col min="10750" max="10750" width="9.28515625" style="5" bestFit="1" customWidth="1"/>
    <col min="10751" max="10753" width="10.28515625" style="5" bestFit="1" customWidth="1"/>
    <col min="10754" max="10754" width="9.5703125" style="5" bestFit="1" customWidth="1"/>
    <col min="10755" max="10755" width="9.28515625" style="5" bestFit="1" customWidth="1"/>
    <col min="10756" max="10756" width="9.5703125" style="5" bestFit="1" customWidth="1"/>
    <col min="10757" max="11003" width="9.140625" style="5"/>
    <col min="11004" max="11004" width="30.28515625" style="5" customWidth="1"/>
    <col min="11005" max="11005" width="9.7109375" style="5" customWidth="1"/>
    <col min="11006" max="11006" width="9.28515625" style="5" bestFit="1" customWidth="1"/>
    <col min="11007" max="11009" width="10.28515625" style="5" bestFit="1" customWidth="1"/>
    <col min="11010" max="11010" width="9.5703125" style="5" bestFit="1" customWidth="1"/>
    <col min="11011" max="11011" width="9.28515625" style="5" bestFit="1" customWidth="1"/>
    <col min="11012" max="11012" width="9.5703125" style="5" bestFit="1" customWidth="1"/>
    <col min="11013" max="11259" width="9.140625" style="5"/>
    <col min="11260" max="11260" width="30.28515625" style="5" customWidth="1"/>
    <col min="11261" max="11261" width="9.7109375" style="5" customWidth="1"/>
    <col min="11262" max="11262" width="9.28515625" style="5" bestFit="1" customWidth="1"/>
    <col min="11263" max="11265" width="10.28515625" style="5" bestFit="1" customWidth="1"/>
    <col min="11266" max="11266" width="9.5703125" style="5" bestFit="1" customWidth="1"/>
    <col min="11267" max="11267" width="9.28515625" style="5" bestFit="1" customWidth="1"/>
    <col min="11268" max="11268" width="9.5703125" style="5" bestFit="1" customWidth="1"/>
    <col min="11269" max="11515" width="9.140625" style="5"/>
    <col min="11516" max="11516" width="30.28515625" style="5" customWidth="1"/>
    <col min="11517" max="11517" width="9.7109375" style="5" customWidth="1"/>
    <col min="11518" max="11518" width="9.28515625" style="5" bestFit="1" customWidth="1"/>
    <col min="11519" max="11521" width="10.28515625" style="5" bestFit="1" customWidth="1"/>
    <col min="11522" max="11522" width="9.5703125" style="5" bestFit="1" customWidth="1"/>
    <col min="11523" max="11523" width="9.28515625" style="5" bestFit="1" customWidth="1"/>
    <col min="11524" max="11524" width="9.5703125" style="5" bestFit="1" customWidth="1"/>
    <col min="11525" max="11771" width="9.140625" style="5"/>
    <col min="11772" max="11772" width="30.28515625" style="5" customWidth="1"/>
    <col min="11773" max="11773" width="9.7109375" style="5" customWidth="1"/>
    <col min="11774" max="11774" width="9.28515625" style="5" bestFit="1" customWidth="1"/>
    <col min="11775" max="11777" width="10.28515625" style="5" bestFit="1" customWidth="1"/>
    <col min="11778" max="11778" width="9.5703125" style="5" bestFit="1" customWidth="1"/>
    <col min="11779" max="11779" width="9.28515625" style="5" bestFit="1" customWidth="1"/>
    <col min="11780" max="11780" width="9.5703125" style="5" bestFit="1" customWidth="1"/>
    <col min="11781" max="12027" width="9.140625" style="5"/>
    <col min="12028" max="12028" width="30.28515625" style="5" customWidth="1"/>
    <col min="12029" max="12029" width="9.7109375" style="5" customWidth="1"/>
    <col min="12030" max="12030" width="9.28515625" style="5" bestFit="1" customWidth="1"/>
    <col min="12031" max="12033" width="10.28515625" style="5" bestFit="1" customWidth="1"/>
    <col min="12034" max="12034" width="9.5703125" style="5" bestFit="1" customWidth="1"/>
    <col min="12035" max="12035" width="9.28515625" style="5" bestFit="1" customWidth="1"/>
    <col min="12036" max="12036" width="9.5703125" style="5" bestFit="1" customWidth="1"/>
    <col min="12037" max="12283" width="9.140625" style="5"/>
    <col min="12284" max="12284" width="30.28515625" style="5" customWidth="1"/>
    <col min="12285" max="12285" width="9.7109375" style="5" customWidth="1"/>
    <col min="12286" max="12286" width="9.28515625" style="5" bestFit="1" customWidth="1"/>
    <col min="12287" max="12289" width="10.28515625" style="5" bestFit="1" customWidth="1"/>
    <col min="12290" max="12290" width="9.5703125" style="5" bestFit="1" customWidth="1"/>
    <col min="12291" max="12291" width="9.28515625" style="5" bestFit="1" customWidth="1"/>
    <col min="12292" max="12292" width="9.5703125" style="5" bestFit="1" customWidth="1"/>
    <col min="12293" max="12539" width="9.140625" style="5"/>
    <col min="12540" max="12540" width="30.28515625" style="5" customWidth="1"/>
    <col min="12541" max="12541" width="9.7109375" style="5" customWidth="1"/>
    <col min="12542" max="12542" width="9.28515625" style="5" bestFit="1" customWidth="1"/>
    <col min="12543" max="12545" width="10.28515625" style="5" bestFit="1" customWidth="1"/>
    <col min="12546" max="12546" width="9.5703125" style="5" bestFit="1" customWidth="1"/>
    <col min="12547" max="12547" width="9.28515625" style="5" bestFit="1" customWidth="1"/>
    <col min="12548" max="12548" width="9.5703125" style="5" bestFit="1" customWidth="1"/>
    <col min="12549" max="12795" width="9.140625" style="5"/>
    <col min="12796" max="12796" width="30.28515625" style="5" customWidth="1"/>
    <col min="12797" max="12797" width="9.7109375" style="5" customWidth="1"/>
    <col min="12798" max="12798" width="9.28515625" style="5" bestFit="1" customWidth="1"/>
    <col min="12799" max="12801" width="10.28515625" style="5" bestFit="1" customWidth="1"/>
    <col min="12802" max="12802" width="9.5703125" style="5" bestFit="1" customWidth="1"/>
    <col min="12803" max="12803" width="9.28515625" style="5" bestFit="1" customWidth="1"/>
    <col min="12804" max="12804" width="9.5703125" style="5" bestFit="1" customWidth="1"/>
    <col min="12805" max="13051" width="9.140625" style="5"/>
    <col min="13052" max="13052" width="30.28515625" style="5" customWidth="1"/>
    <col min="13053" max="13053" width="9.7109375" style="5" customWidth="1"/>
    <col min="13054" max="13054" width="9.28515625" style="5" bestFit="1" customWidth="1"/>
    <col min="13055" max="13057" width="10.28515625" style="5" bestFit="1" customWidth="1"/>
    <col min="13058" max="13058" width="9.5703125" style="5" bestFit="1" customWidth="1"/>
    <col min="13059" max="13059" width="9.28515625" style="5" bestFit="1" customWidth="1"/>
    <col min="13060" max="13060" width="9.5703125" style="5" bestFit="1" customWidth="1"/>
    <col min="13061" max="13307" width="9.140625" style="5"/>
    <col min="13308" max="13308" width="30.28515625" style="5" customWidth="1"/>
    <col min="13309" max="13309" width="9.7109375" style="5" customWidth="1"/>
    <col min="13310" max="13310" width="9.28515625" style="5" bestFit="1" customWidth="1"/>
    <col min="13311" max="13313" width="10.28515625" style="5" bestFit="1" customWidth="1"/>
    <col min="13314" max="13314" width="9.5703125" style="5" bestFit="1" customWidth="1"/>
    <col min="13315" max="13315" width="9.28515625" style="5" bestFit="1" customWidth="1"/>
    <col min="13316" max="13316" width="9.5703125" style="5" bestFit="1" customWidth="1"/>
    <col min="13317" max="13563" width="9.140625" style="5"/>
    <col min="13564" max="13564" width="30.28515625" style="5" customWidth="1"/>
    <col min="13565" max="13565" width="9.7109375" style="5" customWidth="1"/>
    <col min="13566" max="13566" width="9.28515625" style="5" bestFit="1" customWidth="1"/>
    <col min="13567" max="13569" width="10.28515625" style="5" bestFit="1" customWidth="1"/>
    <col min="13570" max="13570" width="9.5703125" style="5" bestFit="1" customWidth="1"/>
    <col min="13571" max="13571" width="9.28515625" style="5" bestFit="1" customWidth="1"/>
    <col min="13572" max="13572" width="9.5703125" style="5" bestFit="1" customWidth="1"/>
    <col min="13573" max="13819" width="9.140625" style="5"/>
    <col min="13820" max="13820" width="30.28515625" style="5" customWidth="1"/>
    <col min="13821" max="13821" width="9.7109375" style="5" customWidth="1"/>
    <col min="13822" max="13822" width="9.28515625" style="5" bestFit="1" customWidth="1"/>
    <col min="13823" max="13825" width="10.28515625" style="5" bestFit="1" customWidth="1"/>
    <col min="13826" max="13826" width="9.5703125" style="5" bestFit="1" customWidth="1"/>
    <col min="13827" max="13827" width="9.28515625" style="5" bestFit="1" customWidth="1"/>
    <col min="13828" max="13828" width="9.5703125" style="5" bestFit="1" customWidth="1"/>
    <col min="13829" max="14075" width="9.140625" style="5"/>
    <col min="14076" max="14076" width="30.28515625" style="5" customWidth="1"/>
    <col min="14077" max="14077" width="9.7109375" style="5" customWidth="1"/>
    <col min="14078" max="14078" width="9.28515625" style="5" bestFit="1" customWidth="1"/>
    <col min="14079" max="14081" width="10.28515625" style="5" bestFit="1" customWidth="1"/>
    <col min="14082" max="14082" width="9.5703125" style="5" bestFit="1" customWidth="1"/>
    <col min="14083" max="14083" width="9.28515625" style="5" bestFit="1" customWidth="1"/>
    <col min="14084" max="14084" width="9.5703125" style="5" bestFit="1" customWidth="1"/>
    <col min="14085" max="14331" width="9.140625" style="5"/>
    <col min="14332" max="14332" width="30.28515625" style="5" customWidth="1"/>
    <col min="14333" max="14333" width="9.7109375" style="5" customWidth="1"/>
    <col min="14334" max="14334" width="9.28515625" style="5" bestFit="1" customWidth="1"/>
    <col min="14335" max="14337" width="10.28515625" style="5" bestFit="1" customWidth="1"/>
    <col min="14338" max="14338" width="9.5703125" style="5" bestFit="1" customWidth="1"/>
    <col min="14339" max="14339" width="9.28515625" style="5" bestFit="1" customWidth="1"/>
    <col min="14340" max="14340" width="9.5703125" style="5" bestFit="1" customWidth="1"/>
    <col min="14341" max="14587" width="9.140625" style="5"/>
    <col min="14588" max="14588" width="30.28515625" style="5" customWidth="1"/>
    <col min="14589" max="14589" width="9.7109375" style="5" customWidth="1"/>
    <col min="14590" max="14590" width="9.28515625" style="5" bestFit="1" customWidth="1"/>
    <col min="14591" max="14593" width="10.28515625" style="5" bestFit="1" customWidth="1"/>
    <col min="14594" max="14594" width="9.5703125" style="5" bestFit="1" customWidth="1"/>
    <col min="14595" max="14595" width="9.28515625" style="5" bestFit="1" customWidth="1"/>
    <col min="14596" max="14596" width="9.5703125" style="5" bestFit="1" customWidth="1"/>
    <col min="14597" max="14843" width="9.140625" style="5"/>
    <col min="14844" max="14844" width="30.28515625" style="5" customWidth="1"/>
    <col min="14845" max="14845" width="9.7109375" style="5" customWidth="1"/>
    <col min="14846" max="14846" width="9.28515625" style="5" bestFit="1" customWidth="1"/>
    <col min="14847" max="14849" width="10.28515625" style="5" bestFit="1" customWidth="1"/>
    <col min="14850" max="14850" width="9.5703125" style="5" bestFit="1" customWidth="1"/>
    <col min="14851" max="14851" width="9.28515625" style="5" bestFit="1" customWidth="1"/>
    <col min="14852" max="14852" width="9.5703125" style="5" bestFit="1" customWidth="1"/>
    <col min="14853" max="15099" width="9.140625" style="5"/>
    <col min="15100" max="15100" width="30.28515625" style="5" customWidth="1"/>
    <col min="15101" max="15101" width="9.7109375" style="5" customWidth="1"/>
    <col min="15102" max="15102" width="9.28515625" style="5" bestFit="1" customWidth="1"/>
    <col min="15103" max="15105" width="10.28515625" style="5" bestFit="1" customWidth="1"/>
    <col min="15106" max="15106" width="9.5703125" style="5" bestFit="1" customWidth="1"/>
    <col min="15107" max="15107" width="9.28515625" style="5" bestFit="1" customWidth="1"/>
    <col min="15108" max="15108" width="9.5703125" style="5" bestFit="1" customWidth="1"/>
    <col min="15109" max="15355" width="9.140625" style="5"/>
    <col min="15356" max="15356" width="30.28515625" style="5" customWidth="1"/>
    <col min="15357" max="15357" width="9.7109375" style="5" customWidth="1"/>
    <col min="15358" max="15358" width="9.28515625" style="5" bestFit="1" customWidth="1"/>
    <col min="15359" max="15361" width="10.28515625" style="5" bestFit="1" customWidth="1"/>
    <col min="15362" max="15362" width="9.5703125" style="5" bestFit="1" customWidth="1"/>
    <col min="15363" max="15363" width="9.28515625" style="5" bestFit="1" customWidth="1"/>
    <col min="15364" max="15364" width="9.5703125" style="5" bestFit="1" customWidth="1"/>
    <col min="15365" max="15611" width="9.140625" style="5"/>
    <col min="15612" max="15612" width="30.28515625" style="5" customWidth="1"/>
    <col min="15613" max="15613" width="9.7109375" style="5" customWidth="1"/>
    <col min="15614" max="15614" width="9.28515625" style="5" bestFit="1" customWidth="1"/>
    <col min="15615" max="15617" width="10.28515625" style="5" bestFit="1" customWidth="1"/>
    <col min="15618" max="15618" width="9.5703125" style="5" bestFit="1" customWidth="1"/>
    <col min="15619" max="15619" width="9.28515625" style="5" bestFit="1" customWidth="1"/>
    <col min="15620" max="15620" width="9.5703125" style="5" bestFit="1" customWidth="1"/>
    <col min="15621" max="15867" width="9.140625" style="5"/>
    <col min="15868" max="15868" width="30.28515625" style="5" customWidth="1"/>
    <col min="15869" max="15869" width="9.7109375" style="5" customWidth="1"/>
    <col min="15870" max="15870" width="9.28515625" style="5" bestFit="1" customWidth="1"/>
    <col min="15871" max="15873" width="10.28515625" style="5" bestFit="1" customWidth="1"/>
    <col min="15874" max="15874" width="9.5703125" style="5" bestFit="1" customWidth="1"/>
    <col min="15875" max="15875" width="9.28515625" style="5" bestFit="1" customWidth="1"/>
    <col min="15876" max="15876" width="9.5703125" style="5" bestFit="1" customWidth="1"/>
    <col min="15877" max="16123" width="9.140625" style="5"/>
    <col min="16124" max="16124" width="30.28515625" style="5" customWidth="1"/>
    <col min="16125" max="16125" width="9.7109375" style="5" customWidth="1"/>
    <col min="16126" max="16126" width="9.28515625" style="5" bestFit="1" customWidth="1"/>
    <col min="16127" max="16129" width="10.28515625" style="5" bestFit="1" customWidth="1"/>
    <col min="16130" max="16130" width="9.5703125" style="5" bestFit="1" customWidth="1"/>
    <col min="16131" max="16131" width="9.28515625" style="5" bestFit="1" customWidth="1"/>
    <col min="16132" max="16132" width="9.5703125" style="5" bestFit="1" customWidth="1"/>
    <col min="16133" max="16384" width="9.140625" style="5"/>
  </cols>
  <sheetData>
    <row r="1" spans="1:19" ht="12.75" customHeight="1" x14ac:dyDescent="0.2">
      <c r="A1" s="121"/>
      <c r="B1" s="119"/>
      <c r="C1" s="119"/>
      <c r="D1" s="120"/>
      <c r="E1" s="120"/>
      <c r="F1" s="119"/>
      <c r="G1" s="119"/>
      <c r="H1" s="118"/>
    </row>
    <row r="2" spans="1:19" ht="12.75" customHeight="1" x14ac:dyDescent="0.2">
      <c r="A2" s="121"/>
      <c r="B2" s="121"/>
      <c r="C2" s="119"/>
      <c r="D2" s="120"/>
      <c r="E2" s="120"/>
      <c r="F2" s="119"/>
      <c r="G2" s="119"/>
      <c r="H2" s="118"/>
      <c r="J2" s="5" t="s">
        <v>274</v>
      </c>
      <c r="K2" s="63"/>
      <c r="P2" s="5" t="s">
        <v>274</v>
      </c>
    </row>
    <row r="3" spans="1:19" ht="12.75" customHeight="1" x14ac:dyDescent="0.2">
      <c r="A3" s="121"/>
      <c r="B3" s="119"/>
      <c r="C3" s="119"/>
      <c r="D3" s="120"/>
      <c r="E3" s="120"/>
      <c r="F3" s="119"/>
      <c r="G3" s="119"/>
      <c r="H3" s="118"/>
      <c r="I3" s="5" t="s">
        <v>398</v>
      </c>
      <c r="J3" s="5">
        <v>12</v>
      </c>
      <c r="M3" s="5">
        <v>15</v>
      </c>
      <c r="P3" s="5">
        <v>4</v>
      </c>
    </row>
    <row r="4" spans="1:19" ht="12.75" customHeight="1" x14ac:dyDescent="0.2">
      <c r="A4" s="118"/>
      <c r="B4" s="119"/>
      <c r="C4" s="119"/>
      <c r="D4" s="120"/>
      <c r="E4" s="120"/>
      <c r="F4" s="119"/>
      <c r="G4" s="119"/>
      <c r="H4" s="118"/>
      <c r="I4" s="5" t="s">
        <v>399</v>
      </c>
      <c r="O4" s="5" t="s">
        <v>391</v>
      </c>
      <c r="P4" s="5" t="s">
        <v>391</v>
      </c>
      <c r="R4" s="5" t="s">
        <v>391</v>
      </c>
    </row>
    <row r="5" spans="1:19" ht="12.75" customHeight="1" x14ac:dyDescent="0.2">
      <c r="A5" s="121"/>
      <c r="B5" s="121"/>
      <c r="C5" s="119"/>
      <c r="D5" s="120"/>
      <c r="E5" s="120"/>
      <c r="F5" s="119"/>
      <c r="G5" s="119"/>
      <c r="H5" s="118"/>
      <c r="I5" s="5" t="s">
        <v>400</v>
      </c>
      <c r="J5" s="5" t="s">
        <v>258</v>
      </c>
      <c r="L5" s="67" t="s">
        <v>154</v>
      </c>
      <c r="N5" s="5" t="s">
        <v>261</v>
      </c>
      <c r="O5" s="5" t="s">
        <v>392</v>
      </c>
      <c r="P5" s="5" t="s">
        <v>392</v>
      </c>
      <c r="R5" s="5" t="s">
        <v>1</v>
      </c>
    </row>
    <row r="6" spans="1:19" ht="12.75" customHeight="1" x14ac:dyDescent="0.2">
      <c r="A6" s="119"/>
      <c r="B6" s="119"/>
      <c r="C6" s="119"/>
      <c r="D6" s="120"/>
      <c r="E6" s="120"/>
      <c r="F6" s="119"/>
      <c r="G6" s="119"/>
      <c r="H6" s="118"/>
      <c r="I6" s="139" t="s">
        <v>255</v>
      </c>
      <c r="L6" s="66" t="s">
        <v>153</v>
      </c>
      <c r="O6" s="5" t="s">
        <v>393</v>
      </c>
      <c r="P6" s="5" t="s">
        <v>394</v>
      </c>
    </row>
    <row r="7" spans="1:19" ht="12.75" customHeight="1" x14ac:dyDescent="0.2">
      <c r="A7" s="1"/>
      <c r="B7" s="2"/>
      <c r="C7" s="3" t="str">
        <f>Report_Month</f>
        <v>Jan 16</v>
      </c>
      <c r="D7" s="3" t="str">
        <f>RepMonth&amp;" "&amp;PrevYear</f>
        <v>Jan 15</v>
      </c>
      <c r="E7" s="4"/>
      <c r="F7" s="3" t="str">
        <f>Report_Month</f>
        <v>Jan 16</v>
      </c>
      <c r="G7" s="3" t="str">
        <f>RepMonth&amp;" "&amp;PrevYear</f>
        <v>Jan 15</v>
      </c>
      <c r="H7" s="119"/>
      <c r="I7" s="34" t="str">
        <f>OpeningPeriodName</f>
        <v>JAN-15</v>
      </c>
      <c r="L7" s="66"/>
    </row>
    <row r="8" spans="1:19" ht="12.75" customHeight="1" x14ac:dyDescent="0.2">
      <c r="A8" s="114" t="str">
        <f>IF(OpeningTBType="EOY","From End of Year ("&amp;OpeningPeriodName&amp;")","")</f>
        <v>From End of Year (JAN-15)</v>
      </c>
      <c r="B8" s="2"/>
      <c r="C8" s="7" t="s">
        <v>0</v>
      </c>
      <c r="D8" s="7" t="s">
        <v>0</v>
      </c>
      <c r="E8" s="8"/>
      <c r="F8" s="8" t="s">
        <v>1</v>
      </c>
      <c r="G8" s="8" t="s">
        <v>1</v>
      </c>
      <c r="H8" s="119"/>
    </row>
    <row r="9" spans="1:19" ht="12.75" customHeight="1" x14ac:dyDescent="0.2">
      <c r="A9" s="1"/>
      <c r="B9" s="2"/>
      <c r="C9" s="2"/>
      <c r="D9" s="7" t="s">
        <v>2</v>
      </c>
      <c r="E9" s="8"/>
      <c r="F9" s="8" t="s">
        <v>3</v>
      </c>
      <c r="G9" s="8" t="s">
        <v>3</v>
      </c>
      <c r="H9" s="119"/>
    </row>
    <row r="10" spans="1:19" ht="12.75" customHeight="1" x14ac:dyDescent="0.2">
      <c r="A10" s="1"/>
      <c r="B10" s="2"/>
      <c r="C10" s="2"/>
      <c r="D10" s="9"/>
      <c r="E10" s="8"/>
      <c r="F10" s="8"/>
      <c r="G10" s="10"/>
      <c r="H10" s="119"/>
      <c r="I10" s="6"/>
      <c r="K10" s="48"/>
    </row>
    <row r="11" spans="1:19" ht="12.75" customHeight="1" x14ac:dyDescent="0.2">
      <c r="A11" s="11">
        <v>4000</v>
      </c>
      <c r="B11" s="12" t="s">
        <v>4</v>
      </c>
      <c r="C11" s="12">
        <f>VLOOKUP($A11,TB_Period,8,FALSE)*L11</f>
        <v>160654.48000000001</v>
      </c>
      <c r="D11" s="12">
        <f>VLOOKUP(A11,MTD,PLTD_PYPMTD,FALSE)</f>
        <v>196007.75</v>
      </c>
      <c r="E11" s="13"/>
      <c r="F11" s="12">
        <f>R11</f>
        <v>1656832.85</v>
      </c>
      <c r="G11" s="12">
        <f>VLOOKUP($A11,MTD,PLTD_PYTD,FALSE)</f>
        <v>1628165.23</v>
      </c>
      <c r="H11" s="122"/>
      <c r="I11" s="12" t="e">
        <f>VLOOKUP($A11,MTD,PLTD_OMYTD,FALSE)</f>
        <v>#REF!</v>
      </c>
      <c r="J11" s="12">
        <f>VLOOKUP($A11,TB_Period,$J$3,FALSE)*$L11</f>
        <v>1656832.8499999999</v>
      </c>
      <c r="K11" s="28"/>
      <c r="L11" s="66">
        <v>1</v>
      </c>
      <c r="M11" s="12">
        <f>VLOOKUP($A11,TB_Period,$M$3,FALSE)</f>
        <v>1</v>
      </c>
      <c r="N11" s="60">
        <f>L11-M11</f>
        <v>0</v>
      </c>
      <c r="O11" s="99" t="e">
        <f>I11+J11</f>
        <v>#REF!</v>
      </c>
      <c r="P11" s="12">
        <f>VLOOKUP($A11,TB_Period,$P$3,FALSE)*$L11</f>
        <v>1656832.85</v>
      </c>
      <c r="R11" s="99">
        <f>IF(OpeningTBType="YTD",'RPT MGT PnL'!O11,IF(OpeningTBType="EOY",P11,"Unknown Opening period type"))</f>
        <v>1656832.85</v>
      </c>
      <c r="S11" s="28">
        <f>R11</f>
        <v>1656832.85</v>
      </c>
    </row>
    <row r="12" spans="1:19" ht="12.75" customHeight="1" x14ac:dyDescent="0.2">
      <c r="A12" s="11"/>
      <c r="B12" s="14"/>
      <c r="C12" s="14"/>
      <c r="D12" s="15"/>
      <c r="E12" s="16"/>
      <c r="F12" s="16"/>
      <c r="G12" s="17"/>
      <c r="H12" s="119"/>
    </row>
    <row r="13" spans="1:19" ht="12.75" customHeight="1" x14ac:dyDescent="0.2">
      <c r="A13" s="11">
        <v>5000</v>
      </c>
      <c r="B13" s="90" t="s">
        <v>5</v>
      </c>
      <c r="C13" s="90">
        <f>VLOOKUP(A13,TB_Period,8,FALSE)*L13</f>
        <v>95480.28</v>
      </c>
      <c r="D13" s="90">
        <f>VLOOKUP(A13,MTD,PLTD_PYPMTD,FALSE)</f>
        <v>115292.03</v>
      </c>
      <c r="E13" s="101"/>
      <c r="F13" s="90">
        <f>R13</f>
        <v>1015669.54</v>
      </c>
      <c r="G13" s="90">
        <f>VLOOKUP(A13,MTD,PLTD_PYTD,FALSE)</f>
        <v>1006412.12</v>
      </c>
      <c r="H13" s="123"/>
      <c r="I13" s="90" t="e">
        <f>VLOOKUP($A13,MTD,PLTD_OMYTD,FALSE)</f>
        <v>#REF!</v>
      </c>
      <c r="J13" s="90">
        <f>VLOOKUP($A13,TB_Period,$J$3,FALSE)*$L13</f>
        <v>1015669.54</v>
      </c>
      <c r="L13" s="66">
        <v>-1</v>
      </c>
      <c r="M13" s="12">
        <f>VLOOKUP($A13,TB_Period,$M$3,FALSE)</f>
        <v>-1</v>
      </c>
      <c r="N13" s="60">
        <f>L13-M13</f>
        <v>0</v>
      </c>
      <c r="O13" s="99" t="e">
        <f>I13+J13</f>
        <v>#REF!</v>
      </c>
      <c r="P13" s="90">
        <f>VLOOKUP($A13,TB_Period,$P$3,FALSE)*$L13</f>
        <v>1015669.54</v>
      </c>
      <c r="R13" s="99">
        <f>IF(OpeningTBType="YTD",'RPT MGT PnL'!O13,IF(OpeningTBType="EOY",P13,"Unknown Opening period type"))</f>
        <v>1015669.54</v>
      </c>
    </row>
    <row r="14" spans="1:19" ht="12.75" customHeight="1" x14ac:dyDescent="0.2">
      <c r="A14" s="11">
        <v>5001</v>
      </c>
      <c r="B14" s="90" t="s">
        <v>385</v>
      </c>
      <c r="C14" s="90">
        <f>VLOOKUP(A14,TB_Period,8,FALSE)*L14</f>
        <v>0</v>
      </c>
      <c r="D14" s="90">
        <f>VLOOKUP(A14,MTD,PLTD_PYPMTD,FALSE)</f>
        <v>-31593.25</v>
      </c>
      <c r="E14" s="101"/>
      <c r="F14" s="90">
        <f t="shared" ref="F14" si="0">R14</f>
        <v>0</v>
      </c>
      <c r="G14" s="90">
        <f>VLOOKUP(A14,MTD,PLTD_PYTD,FALSE)</f>
        <v>-31593.25</v>
      </c>
      <c r="H14" s="123"/>
      <c r="I14" s="90" t="e">
        <f>VLOOKUP($A14,MTD,PLTD_OMYTD,FALSE)</f>
        <v>#REF!</v>
      </c>
      <c r="J14" s="90">
        <f>VLOOKUP($A14,TB_Period,$J$3,FALSE)*$L14</f>
        <v>0</v>
      </c>
      <c r="L14" s="66">
        <v>-1</v>
      </c>
      <c r="M14" s="12">
        <f>VLOOKUP($A14,TB_Period,$M$3,FALSE)</f>
        <v>-1</v>
      </c>
      <c r="N14" s="60">
        <f>L14-M14</f>
        <v>0</v>
      </c>
      <c r="O14" s="99" t="e">
        <f>I14+J14</f>
        <v>#REF!</v>
      </c>
      <c r="P14" s="90">
        <f>VLOOKUP($A14,TB_Period,$P$3,FALSE)*$L14</f>
        <v>0</v>
      </c>
      <c r="R14" s="99">
        <f>IF(OpeningTBType="YTD",'RPT MGT PnL'!O14,IF(OpeningTBType="EOY",P14,"Unknown Opening period type"))</f>
        <v>0</v>
      </c>
    </row>
    <row r="15" spans="1:19" ht="12.75" customHeight="1" x14ac:dyDescent="0.2">
      <c r="A15" s="11"/>
      <c r="B15" s="12" t="s">
        <v>387</v>
      </c>
      <c r="C15" s="12">
        <f>SUM(C13:C14)</f>
        <v>95480.28</v>
      </c>
      <c r="D15" s="12">
        <f>SUM(D13:D14)</f>
        <v>83698.78</v>
      </c>
      <c r="E15" s="13"/>
      <c r="F15" s="12">
        <f>SUM(F13:F14)</f>
        <v>1015669.54</v>
      </c>
      <c r="G15" s="12">
        <f>SUM(G13:G14)</f>
        <v>974818.87</v>
      </c>
      <c r="H15" s="119"/>
      <c r="I15" s="12" t="e">
        <f t="shared" ref="I15:J15" si="1">SUM(I13:I14)</f>
        <v>#REF!</v>
      </c>
      <c r="J15" s="12">
        <f t="shared" si="1"/>
        <v>1015669.54</v>
      </c>
      <c r="L15" s="66"/>
      <c r="M15" s="12"/>
      <c r="N15" s="60"/>
      <c r="O15" s="12" t="e">
        <f t="shared" ref="O15:P15" si="2">SUM(O13:O14)</f>
        <v>#REF!</v>
      </c>
      <c r="P15" s="12">
        <f t="shared" si="2"/>
        <v>1015669.54</v>
      </c>
      <c r="R15" s="12">
        <f t="shared" ref="R15" si="3">SUM(R13:R14)</f>
        <v>1015669.54</v>
      </c>
    </row>
    <row r="16" spans="1:19" ht="12.75" customHeight="1" x14ac:dyDescent="0.2">
      <c r="A16" s="11"/>
      <c r="B16" s="14"/>
      <c r="C16" s="14"/>
      <c r="D16" s="15"/>
      <c r="E16" s="16"/>
      <c r="F16" s="16"/>
      <c r="G16" s="15"/>
      <c r="H16" s="119"/>
    </row>
    <row r="17" spans="1:18" ht="12.75" customHeight="1" x14ac:dyDescent="0.2">
      <c r="A17" s="11">
        <v>7000</v>
      </c>
      <c r="B17" s="14" t="s">
        <v>6</v>
      </c>
      <c r="C17" s="14">
        <f t="shared" ref="C17:C22" si="4">VLOOKUP(A17,TB_Period,8,FALSE)*L17</f>
        <v>8958.73</v>
      </c>
      <c r="D17" s="14">
        <f t="shared" ref="D17:D22" si="5">VLOOKUP(A17,MTD,PLTD_PYPMTD,FALSE)</f>
        <v>6350.55</v>
      </c>
      <c r="E17" s="17"/>
      <c r="F17" s="90">
        <f t="shared" ref="F17:F22" si="6">R17</f>
        <v>115083.07</v>
      </c>
      <c r="G17" s="14">
        <f t="shared" ref="G17:G22" si="7">VLOOKUP(A17,MTD,PLTD_PYTD,FALSE)</f>
        <v>115724.77</v>
      </c>
      <c r="H17" s="119"/>
      <c r="I17" s="90" t="e">
        <f t="shared" ref="I17:I22" si="8">VLOOKUP($A17,MTD,PLTD_OMYTD,FALSE)</f>
        <v>#REF!</v>
      </c>
      <c r="J17" s="90">
        <f t="shared" ref="J17:J22" si="9">VLOOKUP($A17,TB_Period,$J$3,FALSE)*$L17</f>
        <v>115083.06999999999</v>
      </c>
      <c r="L17" s="66">
        <v>-1</v>
      </c>
      <c r="M17" s="12">
        <f t="shared" ref="M17:M22" si="10">VLOOKUP($A17,TB_Period,$M$3,FALSE)</f>
        <v>-1</v>
      </c>
      <c r="N17" s="60">
        <f t="shared" ref="N17:N22" si="11">L17-M17</f>
        <v>0</v>
      </c>
      <c r="O17" s="99" t="e">
        <f t="shared" ref="O17:O22" si="12">I17+J17</f>
        <v>#REF!</v>
      </c>
      <c r="P17" s="90">
        <f t="shared" ref="P17:P22" si="13">VLOOKUP($A17,TB_Period,$P$3,FALSE)*$L17</f>
        <v>115083.07</v>
      </c>
      <c r="R17" s="99">
        <f>IF(OpeningTBType="YTD",'RPT MGT PnL'!O17,IF(OpeningTBType="EOY",P17,"Unknown Opening period type"))</f>
        <v>115083.07</v>
      </c>
    </row>
    <row r="18" spans="1:18" ht="12.75" customHeight="1" x14ac:dyDescent="0.2">
      <c r="A18" s="11">
        <v>7100</v>
      </c>
      <c r="B18" s="14" t="s">
        <v>7</v>
      </c>
      <c r="C18" s="14">
        <f t="shared" si="4"/>
        <v>750</v>
      </c>
      <c r="D18" s="14">
        <f t="shared" si="5"/>
        <v>-3750.23</v>
      </c>
      <c r="E18" s="17"/>
      <c r="F18" s="90">
        <f t="shared" si="6"/>
        <v>9000</v>
      </c>
      <c r="G18" s="14">
        <f t="shared" si="7"/>
        <v>4499.7700000000004</v>
      </c>
      <c r="H18" s="119"/>
      <c r="I18" s="90" t="e">
        <f t="shared" si="8"/>
        <v>#REF!</v>
      </c>
      <c r="J18" s="90">
        <f t="shared" si="9"/>
        <v>9000</v>
      </c>
      <c r="L18" s="66">
        <v>-1</v>
      </c>
      <c r="M18" s="12">
        <f t="shared" si="10"/>
        <v>-1</v>
      </c>
      <c r="N18" s="60">
        <f t="shared" si="11"/>
        <v>0</v>
      </c>
      <c r="O18" s="99" t="e">
        <f t="shared" si="12"/>
        <v>#REF!</v>
      </c>
      <c r="P18" s="90">
        <f t="shared" si="13"/>
        <v>9000</v>
      </c>
      <c r="R18" s="99">
        <f>IF(OpeningTBType="YTD",'RPT MGT PnL'!O18,IF(OpeningTBType="EOY",P18,"Unknown Opening period type"))</f>
        <v>9000</v>
      </c>
    </row>
    <row r="19" spans="1:18" ht="12.75" customHeight="1" x14ac:dyDescent="0.2">
      <c r="A19" s="11">
        <v>7103</v>
      </c>
      <c r="B19" s="14" t="s">
        <v>8</v>
      </c>
      <c r="C19" s="14">
        <f t="shared" si="4"/>
        <v>0</v>
      </c>
      <c r="D19" s="14">
        <f t="shared" si="5"/>
        <v>0</v>
      </c>
      <c r="E19" s="17"/>
      <c r="F19" s="90">
        <f t="shared" si="6"/>
        <v>1038.4100000000001</v>
      </c>
      <c r="G19" s="14">
        <f t="shared" si="7"/>
        <v>255.37</v>
      </c>
      <c r="H19" s="119"/>
      <c r="I19" s="90" t="e">
        <f t="shared" si="8"/>
        <v>#REF!</v>
      </c>
      <c r="J19" s="90">
        <f t="shared" si="9"/>
        <v>1038.4100000000001</v>
      </c>
      <c r="L19" s="66">
        <v>-1</v>
      </c>
      <c r="M19" s="12">
        <f t="shared" si="10"/>
        <v>-1</v>
      </c>
      <c r="N19" s="60">
        <f t="shared" si="11"/>
        <v>0</v>
      </c>
      <c r="O19" s="99" t="e">
        <f t="shared" si="12"/>
        <v>#REF!</v>
      </c>
      <c r="P19" s="90">
        <f t="shared" si="13"/>
        <v>1038.4100000000001</v>
      </c>
      <c r="R19" s="99">
        <f>IF(OpeningTBType="YTD",'RPT MGT PnL'!O19,IF(OpeningTBType="EOY",P19,"Unknown Opening period type"))</f>
        <v>1038.4100000000001</v>
      </c>
    </row>
    <row r="20" spans="1:18" ht="12.75" customHeight="1" x14ac:dyDescent="0.2">
      <c r="A20" s="11">
        <v>7102</v>
      </c>
      <c r="B20" s="14" t="s">
        <v>9</v>
      </c>
      <c r="C20" s="14">
        <f t="shared" si="4"/>
        <v>3213.45</v>
      </c>
      <c r="D20" s="14">
        <f t="shared" si="5"/>
        <v>3813.16</v>
      </c>
      <c r="E20" s="17"/>
      <c r="F20" s="90">
        <f t="shared" si="6"/>
        <v>33148.980000000003</v>
      </c>
      <c r="G20" s="14">
        <f t="shared" si="7"/>
        <v>32468.44</v>
      </c>
      <c r="H20" s="119"/>
      <c r="I20" s="90" t="e">
        <f t="shared" si="8"/>
        <v>#REF!</v>
      </c>
      <c r="J20" s="90">
        <f t="shared" si="9"/>
        <v>33148.980000000003</v>
      </c>
      <c r="L20" s="66">
        <v>-1</v>
      </c>
      <c r="M20" s="12">
        <f t="shared" si="10"/>
        <v>-1</v>
      </c>
      <c r="N20" s="60">
        <f t="shared" si="11"/>
        <v>0</v>
      </c>
      <c r="O20" s="99" t="e">
        <f t="shared" si="12"/>
        <v>#REF!</v>
      </c>
      <c r="P20" s="90">
        <f t="shared" si="13"/>
        <v>33148.980000000003</v>
      </c>
      <c r="R20" s="99">
        <f>IF(OpeningTBType="YTD",'RPT MGT PnL'!O20,IF(OpeningTBType="EOY",P20,"Unknown Opening period type"))</f>
        <v>33148.980000000003</v>
      </c>
    </row>
    <row r="21" spans="1:18" ht="12.75" customHeight="1" x14ac:dyDescent="0.2">
      <c r="A21" s="11">
        <v>7105</v>
      </c>
      <c r="B21" s="14" t="s">
        <v>10</v>
      </c>
      <c r="C21" s="14">
        <f t="shared" si="4"/>
        <v>1093.3699999999999</v>
      </c>
      <c r="D21" s="14">
        <f t="shared" si="5"/>
        <v>687.16</v>
      </c>
      <c r="E21" s="17"/>
      <c r="F21" s="90">
        <f t="shared" si="6"/>
        <v>11237.29</v>
      </c>
      <c r="G21" s="14">
        <f t="shared" si="7"/>
        <v>10403.16</v>
      </c>
      <c r="H21" s="119"/>
      <c r="I21" s="90" t="e">
        <f t="shared" si="8"/>
        <v>#REF!</v>
      </c>
      <c r="J21" s="90">
        <f t="shared" si="9"/>
        <v>11237.29</v>
      </c>
      <c r="L21" s="66">
        <v>-1</v>
      </c>
      <c r="M21" s="12">
        <f t="shared" si="10"/>
        <v>-1</v>
      </c>
      <c r="N21" s="60">
        <f t="shared" si="11"/>
        <v>0</v>
      </c>
      <c r="O21" s="99" t="e">
        <f t="shared" si="12"/>
        <v>#REF!</v>
      </c>
      <c r="P21" s="90">
        <f t="shared" si="13"/>
        <v>11237.29</v>
      </c>
      <c r="R21" s="99">
        <f>IF(OpeningTBType="YTD",'RPT MGT PnL'!O21,IF(OpeningTBType="EOY",P21,"Unknown Opening period type"))</f>
        <v>11237.29</v>
      </c>
    </row>
    <row r="22" spans="1:18" ht="12.75" customHeight="1" x14ac:dyDescent="0.2">
      <c r="A22" s="11">
        <v>7006</v>
      </c>
      <c r="B22" s="14" t="s">
        <v>11</v>
      </c>
      <c r="C22" s="14">
        <f t="shared" si="4"/>
        <v>0</v>
      </c>
      <c r="D22" s="14">
        <f t="shared" si="5"/>
        <v>0</v>
      </c>
      <c r="E22" s="17"/>
      <c r="F22" s="90">
        <f t="shared" si="6"/>
        <v>0</v>
      </c>
      <c r="G22" s="14">
        <f t="shared" si="7"/>
        <v>0</v>
      </c>
      <c r="H22" s="119"/>
      <c r="I22" s="90" t="e">
        <f t="shared" si="8"/>
        <v>#REF!</v>
      </c>
      <c r="J22" s="90">
        <f t="shared" si="9"/>
        <v>0</v>
      </c>
      <c r="L22" s="66">
        <v>-1</v>
      </c>
      <c r="M22" s="12">
        <f t="shared" si="10"/>
        <v>-1</v>
      </c>
      <c r="N22" s="60">
        <f t="shared" si="11"/>
        <v>0</v>
      </c>
      <c r="O22" s="99" t="e">
        <f t="shared" si="12"/>
        <v>#REF!</v>
      </c>
      <c r="P22" s="90">
        <f t="shared" si="13"/>
        <v>0</v>
      </c>
      <c r="R22" s="99">
        <f>IF(OpeningTBType="YTD",'RPT MGT PnL'!O22,IF(OpeningTBType="EOY",P22,"Unknown Opening period type"))</f>
        <v>0</v>
      </c>
    </row>
    <row r="23" spans="1:18" ht="12.75" customHeight="1" x14ac:dyDescent="0.2">
      <c r="A23" s="1"/>
      <c r="B23" s="12" t="s">
        <v>12</v>
      </c>
      <c r="C23" s="12">
        <f>SUM(C17:C22)</f>
        <v>14015.55</v>
      </c>
      <c r="D23" s="9">
        <f>SUM(D17:D22)</f>
        <v>7100.6399999999994</v>
      </c>
      <c r="E23" s="9"/>
      <c r="F23" s="9">
        <f>SUM(F17:F22)</f>
        <v>169507.75000000003</v>
      </c>
      <c r="G23" s="9">
        <f>SUM(G17:G22)</f>
        <v>163351.51</v>
      </c>
      <c r="H23" s="119"/>
      <c r="J23" s="9">
        <f>SUM(J17:J22)</f>
        <v>169507.75</v>
      </c>
      <c r="O23" s="9" t="e">
        <f>SUM(O17:O22)</f>
        <v>#REF!</v>
      </c>
      <c r="P23" s="9">
        <f>SUM(P17:P22)</f>
        <v>169507.75000000003</v>
      </c>
      <c r="R23" s="9">
        <f>SUM(R17:R22)</f>
        <v>169507.75000000003</v>
      </c>
    </row>
    <row r="24" spans="1:18" ht="12.75" customHeight="1" x14ac:dyDescent="0.2">
      <c r="A24" s="11"/>
      <c r="B24" s="14"/>
      <c r="C24" s="14"/>
      <c r="D24" s="15"/>
      <c r="E24" s="16"/>
      <c r="F24" s="16"/>
      <c r="G24" s="15"/>
      <c r="H24" s="119"/>
    </row>
    <row r="25" spans="1:18" ht="12.75" customHeight="1" x14ac:dyDescent="0.2">
      <c r="A25" s="11">
        <v>7200</v>
      </c>
      <c r="B25" s="14" t="s">
        <v>13</v>
      </c>
      <c r="C25" s="14">
        <f>VLOOKUP(A25,TB_Period,8,FALSE)*L25</f>
        <v>0</v>
      </c>
      <c r="D25" s="14">
        <f>VLOOKUP(A25,MTD,PLTD_PYPMTD,FALSE)</f>
        <v>-385</v>
      </c>
      <c r="E25" s="17"/>
      <c r="F25" s="90">
        <f t="shared" ref="F25:F28" si="14">R25</f>
        <v>105</v>
      </c>
      <c r="G25" s="14">
        <f>VLOOKUP(A25,MTD,PLTD_PYTD,FALSE)</f>
        <v>0</v>
      </c>
      <c r="H25" s="119"/>
      <c r="I25" s="90" t="e">
        <f>VLOOKUP($A25,MTD,PLTD_OMYTD,FALSE)</f>
        <v>#REF!</v>
      </c>
      <c r="J25" s="90">
        <f>VLOOKUP($A25,TB_Period,$J$3,FALSE)*$L25</f>
        <v>105</v>
      </c>
      <c r="L25" s="66">
        <v>-1</v>
      </c>
      <c r="M25" s="12">
        <f>VLOOKUP($A25,TB_Period,$M$3,FALSE)</f>
        <v>-1</v>
      </c>
      <c r="N25" s="60">
        <f t="shared" ref="N25:N28" si="15">L25-M25</f>
        <v>0</v>
      </c>
      <c r="O25" s="99" t="e">
        <f t="shared" ref="O25:O28" si="16">I25+J25</f>
        <v>#REF!</v>
      </c>
      <c r="P25" s="90">
        <f>VLOOKUP($A25,TB_Period,$P$3,FALSE)*$L25</f>
        <v>105</v>
      </c>
      <c r="R25" s="99">
        <f>IF(OpeningTBType="YTD",'RPT MGT PnL'!O25,IF(OpeningTBType="EOY",P25,"Unknown Opening period type"))</f>
        <v>105</v>
      </c>
    </row>
    <row r="26" spans="1:18" ht="12.75" customHeight="1" x14ac:dyDescent="0.2">
      <c r="A26" s="11">
        <v>7202</v>
      </c>
      <c r="B26" s="14" t="s">
        <v>14</v>
      </c>
      <c r="C26" s="14">
        <f>VLOOKUP(A26,TB_Period,8,FALSE)*L26</f>
        <v>920</v>
      </c>
      <c r="D26" s="14">
        <f>VLOOKUP(A26,MTD,PLTD_PYPMTD,FALSE)</f>
        <v>-1707.94</v>
      </c>
      <c r="E26" s="17"/>
      <c r="F26" s="90">
        <f t="shared" si="14"/>
        <v>11040</v>
      </c>
      <c r="G26" s="14">
        <f>VLOOKUP(A26,MTD,PLTD_PYTD,FALSE)</f>
        <v>8412.06</v>
      </c>
      <c r="H26" s="119"/>
      <c r="I26" s="90" t="e">
        <f>VLOOKUP($A26,MTD,PLTD_OMYTD,FALSE)</f>
        <v>#REF!</v>
      </c>
      <c r="J26" s="90">
        <f>VLOOKUP($A26,TB_Period,$J$3,FALSE)*$L26</f>
        <v>11040</v>
      </c>
      <c r="L26" s="66">
        <v>-1</v>
      </c>
      <c r="M26" s="12">
        <f>VLOOKUP($A26,TB_Period,$M$3,FALSE)</f>
        <v>-1</v>
      </c>
      <c r="N26" s="60">
        <f t="shared" si="15"/>
        <v>0</v>
      </c>
      <c r="O26" s="99" t="e">
        <f t="shared" si="16"/>
        <v>#REF!</v>
      </c>
      <c r="P26" s="90">
        <f>VLOOKUP($A26,TB_Period,$P$3,FALSE)*$L26</f>
        <v>11040</v>
      </c>
      <c r="R26" s="99">
        <f>IF(OpeningTBType="YTD",'RPT MGT PnL'!O26,IF(OpeningTBType="EOY",P26,"Unknown Opening period type"))</f>
        <v>11040</v>
      </c>
    </row>
    <row r="27" spans="1:18" ht="12.75" customHeight="1" x14ac:dyDescent="0.2">
      <c r="A27" s="11">
        <v>7204</v>
      </c>
      <c r="B27" s="14" t="s">
        <v>15</v>
      </c>
      <c r="C27" s="14">
        <f>VLOOKUP(A27,TB_Period,8,FALSE)*L27</f>
        <v>7500</v>
      </c>
      <c r="D27" s="14">
        <f>VLOOKUP(A27,MTD,PLTD_PYPMTD,FALSE)</f>
        <v>1504.79</v>
      </c>
      <c r="E27" s="17"/>
      <c r="F27" s="90">
        <f t="shared" si="14"/>
        <v>91011.15</v>
      </c>
      <c r="G27" s="14">
        <f>VLOOKUP(A27,MTD,PLTD_PYTD,FALSE)</f>
        <v>84004.79</v>
      </c>
      <c r="H27" s="119"/>
      <c r="I27" s="90" t="e">
        <f>VLOOKUP($A27,MTD,PLTD_OMYTD,FALSE)</f>
        <v>#REF!</v>
      </c>
      <c r="J27" s="90">
        <f>VLOOKUP($A27,TB_Period,$J$3,FALSE)*$L27</f>
        <v>91011.15</v>
      </c>
      <c r="L27" s="66">
        <v>-1</v>
      </c>
      <c r="M27" s="12">
        <f>VLOOKUP($A27,TB_Period,$M$3,FALSE)</f>
        <v>-1</v>
      </c>
      <c r="N27" s="60">
        <f t="shared" si="15"/>
        <v>0</v>
      </c>
      <c r="O27" s="99" t="e">
        <f t="shared" si="16"/>
        <v>#REF!</v>
      </c>
      <c r="P27" s="90">
        <f>VLOOKUP($A27,TB_Period,$P$3,FALSE)*$L27</f>
        <v>91011.15</v>
      </c>
      <c r="R27" s="99">
        <f>IF(OpeningTBType="YTD",'RPT MGT PnL'!O27,IF(OpeningTBType="EOY",P27,"Unknown Opening period type"))</f>
        <v>91011.15</v>
      </c>
    </row>
    <row r="28" spans="1:18" ht="12.75" customHeight="1" x14ac:dyDescent="0.2">
      <c r="A28" s="11">
        <v>7206</v>
      </c>
      <c r="B28" s="14" t="s">
        <v>16</v>
      </c>
      <c r="C28" s="14">
        <f>VLOOKUP(A28,TB_Period,8,FALSE)*L28</f>
        <v>1329.21</v>
      </c>
      <c r="D28" s="14">
        <f>VLOOKUP(A28,MTD,PLTD_PYPMTD,FALSE)</f>
        <v>1331.01</v>
      </c>
      <c r="E28" s="17"/>
      <c r="F28" s="90">
        <f t="shared" si="14"/>
        <v>17640.16</v>
      </c>
      <c r="G28" s="14">
        <f>VLOOKUP(A28,MTD,PLTD_PYTD,FALSE)</f>
        <v>16717.88</v>
      </c>
      <c r="H28" s="119"/>
      <c r="I28" s="90" t="e">
        <f>VLOOKUP($A28,MTD,PLTD_OMYTD,FALSE)</f>
        <v>#REF!</v>
      </c>
      <c r="J28" s="90">
        <f>VLOOKUP($A28,TB_Period,$J$3,FALSE)*$L28</f>
        <v>17640.16</v>
      </c>
      <c r="L28" s="66">
        <v>-1</v>
      </c>
      <c r="M28" s="12">
        <f>VLOOKUP($A28,TB_Period,$M$3,FALSE)</f>
        <v>-1</v>
      </c>
      <c r="N28" s="60">
        <f t="shared" si="15"/>
        <v>0</v>
      </c>
      <c r="O28" s="99" t="e">
        <f t="shared" si="16"/>
        <v>#REF!</v>
      </c>
      <c r="P28" s="90">
        <f>VLOOKUP($A28,TB_Period,$P$3,FALSE)*$L28</f>
        <v>17640.16</v>
      </c>
      <c r="R28" s="99">
        <f>IF(OpeningTBType="YTD",'RPT MGT PnL'!O28,IF(OpeningTBType="EOY",P28,"Unknown Opening period type"))</f>
        <v>17640.16</v>
      </c>
    </row>
    <row r="29" spans="1:18" ht="12.75" customHeight="1" x14ac:dyDescent="0.2">
      <c r="A29" s="1"/>
      <c r="B29" s="12" t="s">
        <v>17</v>
      </c>
      <c r="C29" s="12">
        <f>SUM(C25:C28)</f>
        <v>9749.2099999999991</v>
      </c>
      <c r="D29" s="9">
        <f>SUM(D25:D28)</f>
        <v>742.8599999999999</v>
      </c>
      <c r="E29" s="9"/>
      <c r="F29" s="9">
        <f>SUM(F25:F28)</f>
        <v>119796.31</v>
      </c>
      <c r="G29" s="9">
        <f>SUM(G25:G28)</f>
        <v>109134.73</v>
      </c>
      <c r="H29" s="119"/>
      <c r="J29" s="9">
        <f>SUM(J25:J28)</f>
        <v>119796.31</v>
      </c>
      <c r="O29" s="9" t="e">
        <f>SUM(O25:O28)</f>
        <v>#REF!</v>
      </c>
      <c r="P29" s="9">
        <f>SUM(P25:P28)</f>
        <v>119796.31</v>
      </c>
      <c r="R29" s="9">
        <f>SUM(R25:R28)</f>
        <v>119796.31</v>
      </c>
    </row>
    <row r="30" spans="1:18" ht="12.75" customHeight="1" x14ac:dyDescent="0.2">
      <c r="A30" s="1"/>
      <c r="B30" s="12"/>
      <c r="C30" s="12"/>
      <c r="D30" s="9"/>
      <c r="E30" s="16"/>
      <c r="F30" s="16"/>
      <c r="G30" s="9"/>
      <c r="H30" s="119"/>
    </row>
    <row r="31" spans="1:18" ht="12.75" customHeight="1" x14ac:dyDescent="0.2">
      <c r="A31" s="11">
        <v>7020</v>
      </c>
      <c r="B31" s="14" t="s">
        <v>18</v>
      </c>
      <c r="C31" s="14">
        <f t="shared" ref="C31:C51" si="17">VLOOKUP(A31,TB_Period,8,FALSE)*L31</f>
        <v>0</v>
      </c>
      <c r="D31" s="14">
        <f t="shared" ref="D31:D51" si="18">VLOOKUP(A31,MTD,PLTD_PYPMTD,FALSE)</f>
        <v>0</v>
      </c>
      <c r="E31" s="17"/>
      <c r="F31" s="90">
        <f t="shared" ref="F31:F51" si="19">R31</f>
        <v>0</v>
      </c>
      <c r="G31" s="14">
        <f t="shared" ref="G31:G51" si="20">VLOOKUP(A31,MTD,PLTD_PYTD,FALSE)</f>
        <v>0</v>
      </c>
      <c r="H31" s="119"/>
      <c r="I31" s="90" t="e">
        <f t="shared" ref="I31:I51" si="21">VLOOKUP($A31,MTD,PLTD_OMYTD,FALSE)</f>
        <v>#REF!</v>
      </c>
      <c r="J31" s="90">
        <f t="shared" ref="J31:J51" si="22">VLOOKUP($A31,TB_Period,$J$3,FALSE)*$L31</f>
        <v>0</v>
      </c>
      <c r="L31" s="66">
        <v>-1</v>
      </c>
      <c r="M31" s="12">
        <f t="shared" ref="M31:M51" si="23">VLOOKUP($A31,TB_Period,$M$3,FALSE)</f>
        <v>-1</v>
      </c>
      <c r="N31" s="60">
        <f t="shared" ref="N31:N51" si="24">L31-M31</f>
        <v>0</v>
      </c>
      <c r="O31" s="99" t="e">
        <f t="shared" ref="O31:O51" si="25">I31+J31</f>
        <v>#REF!</v>
      </c>
      <c r="P31" s="90">
        <f t="shared" ref="P31:P51" si="26">VLOOKUP($A31,TB_Period,$P$3,FALSE)*$L31</f>
        <v>0</v>
      </c>
      <c r="R31" s="99">
        <f>IF(OpeningTBType="YTD",'RPT MGT PnL'!O31,IF(OpeningTBType="EOY",P31,"Unknown Opening period type"))</f>
        <v>0</v>
      </c>
    </row>
    <row r="32" spans="1:18" ht="12.75" customHeight="1" x14ac:dyDescent="0.2">
      <c r="A32" s="11">
        <v>8100</v>
      </c>
      <c r="B32" s="14" t="s">
        <v>19</v>
      </c>
      <c r="C32" s="14">
        <f t="shared" si="17"/>
        <v>0</v>
      </c>
      <c r="D32" s="14">
        <f t="shared" si="18"/>
        <v>779.98</v>
      </c>
      <c r="E32" s="17"/>
      <c r="F32" s="90">
        <f t="shared" si="19"/>
        <v>1.21</v>
      </c>
      <c r="G32" s="14">
        <f t="shared" si="20"/>
        <v>782.74</v>
      </c>
      <c r="H32" s="119"/>
      <c r="I32" s="90" t="e">
        <f t="shared" si="21"/>
        <v>#REF!</v>
      </c>
      <c r="J32" s="90">
        <f t="shared" si="22"/>
        <v>1.2099999999999715</v>
      </c>
      <c r="L32" s="66">
        <v>-1</v>
      </c>
      <c r="M32" s="12">
        <f t="shared" si="23"/>
        <v>-1</v>
      </c>
      <c r="N32" s="60">
        <f t="shared" si="24"/>
        <v>0</v>
      </c>
      <c r="O32" s="99" t="e">
        <f t="shared" si="25"/>
        <v>#REF!</v>
      </c>
      <c r="P32" s="90">
        <f t="shared" si="26"/>
        <v>1.21</v>
      </c>
      <c r="R32" s="99">
        <f>IF(OpeningTBType="YTD",'RPT MGT PnL'!O32,IF(OpeningTBType="EOY",P32,"Unknown Opening period type"))</f>
        <v>1.21</v>
      </c>
    </row>
    <row r="33" spans="1:18" ht="12.75" customHeight="1" x14ac:dyDescent="0.2">
      <c r="A33" s="11">
        <v>8200</v>
      </c>
      <c r="B33" s="14" t="s">
        <v>20</v>
      </c>
      <c r="C33" s="14">
        <f t="shared" si="17"/>
        <v>300</v>
      </c>
      <c r="D33" s="14">
        <f t="shared" si="18"/>
        <v>480</v>
      </c>
      <c r="E33" s="17"/>
      <c r="F33" s="90">
        <f t="shared" si="19"/>
        <v>3600</v>
      </c>
      <c r="G33" s="14">
        <f t="shared" si="20"/>
        <v>3780</v>
      </c>
      <c r="H33" s="119"/>
      <c r="I33" s="90" t="e">
        <f t="shared" si="21"/>
        <v>#REF!</v>
      </c>
      <c r="J33" s="90">
        <f t="shared" si="22"/>
        <v>3600</v>
      </c>
      <c r="L33" s="66">
        <v>-1</v>
      </c>
      <c r="M33" s="12">
        <f t="shared" si="23"/>
        <v>-1</v>
      </c>
      <c r="N33" s="60">
        <f t="shared" si="24"/>
        <v>0</v>
      </c>
      <c r="O33" s="99" t="e">
        <f t="shared" si="25"/>
        <v>#REF!</v>
      </c>
      <c r="P33" s="90">
        <f t="shared" si="26"/>
        <v>3600</v>
      </c>
      <c r="R33" s="99">
        <f>IF(OpeningTBType="YTD",'RPT MGT PnL'!O33,IF(OpeningTBType="EOY",P33,"Unknown Opening period type"))</f>
        <v>3600</v>
      </c>
    </row>
    <row r="34" spans="1:18" ht="12.75" customHeight="1" x14ac:dyDescent="0.2">
      <c r="A34" s="11">
        <v>8204</v>
      </c>
      <c r="B34" s="14" t="s">
        <v>21</v>
      </c>
      <c r="C34" s="14">
        <f t="shared" si="17"/>
        <v>128.41</v>
      </c>
      <c r="D34" s="14">
        <f t="shared" si="18"/>
        <v>302.89999999999998</v>
      </c>
      <c r="E34" s="17"/>
      <c r="F34" s="90">
        <f t="shared" si="19"/>
        <v>1841.7</v>
      </c>
      <c r="G34" s="14">
        <f t="shared" si="20"/>
        <v>3399.7</v>
      </c>
      <c r="H34" s="119"/>
      <c r="I34" s="90" t="e">
        <f t="shared" si="21"/>
        <v>#REF!</v>
      </c>
      <c r="J34" s="90">
        <f t="shared" si="22"/>
        <v>1841.7</v>
      </c>
      <c r="L34" s="66">
        <v>-1</v>
      </c>
      <c r="M34" s="12">
        <f t="shared" si="23"/>
        <v>-1</v>
      </c>
      <c r="N34" s="60">
        <f t="shared" si="24"/>
        <v>0</v>
      </c>
      <c r="O34" s="99" t="e">
        <f t="shared" si="25"/>
        <v>#REF!</v>
      </c>
      <c r="P34" s="90">
        <f t="shared" si="26"/>
        <v>1841.7</v>
      </c>
      <c r="R34" s="99">
        <f>IF(OpeningTBType="YTD",'RPT MGT PnL'!O34,IF(OpeningTBType="EOY",P34,"Unknown Opening period type"))</f>
        <v>1841.7</v>
      </c>
    </row>
    <row r="35" spans="1:18" ht="12.75" customHeight="1" x14ac:dyDescent="0.2">
      <c r="A35" s="11">
        <v>8300</v>
      </c>
      <c r="B35" s="14" t="s">
        <v>22</v>
      </c>
      <c r="C35" s="14">
        <f t="shared" si="17"/>
        <v>250</v>
      </c>
      <c r="D35" s="14">
        <f t="shared" si="18"/>
        <v>314.2</v>
      </c>
      <c r="E35" s="17"/>
      <c r="F35" s="90">
        <f t="shared" si="19"/>
        <v>3000</v>
      </c>
      <c r="G35" s="14">
        <f t="shared" si="20"/>
        <v>2020</v>
      </c>
      <c r="H35" s="119"/>
      <c r="I35" s="90" t="e">
        <f t="shared" si="21"/>
        <v>#REF!</v>
      </c>
      <c r="J35" s="90">
        <f t="shared" si="22"/>
        <v>3000</v>
      </c>
      <c r="L35" s="66">
        <v>-1</v>
      </c>
      <c r="M35" s="12">
        <f t="shared" si="23"/>
        <v>-1</v>
      </c>
      <c r="N35" s="60">
        <f t="shared" si="24"/>
        <v>0</v>
      </c>
      <c r="O35" s="99" t="e">
        <f t="shared" si="25"/>
        <v>#REF!</v>
      </c>
      <c r="P35" s="90">
        <f t="shared" si="26"/>
        <v>3000</v>
      </c>
      <c r="R35" s="99">
        <f>IF(OpeningTBType="YTD",'RPT MGT PnL'!O35,IF(OpeningTBType="EOY",P35,"Unknown Opening period type"))</f>
        <v>3000</v>
      </c>
    </row>
    <row r="36" spans="1:18" ht="12.75" customHeight="1" x14ac:dyDescent="0.2">
      <c r="A36" s="11">
        <v>7906</v>
      </c>
      <c r="B36" s="14" t="s">
        <v>23</v>
      </c>
      <c r="C36" s="14">
        <f t="shared" si="17"/>
        <v>0</v>
      </c>
      <c r="D36" s="14">
        <f t="shared" si="18"/>
        <v>0</v>
      </c>
      <c r="E36" s="17"/>
      <c r="F36" s="90">
        <f t="shared" si="19"/>
        <v>0</v>
      </c>
      <c r="G36" s="14">
        <f t="shared" si="20"/>
        <v>0</v>
      </c>
      <c r="H36" s="119"/>
      <c r="I36" s="90" t="e">
        <f t="shared" si="21"/>
        <v>#REF!</v>
      </c>
      <c r="J36" s="90">
        <f t="shared" si="22"/>
        <v>0</v>
      </c>
      <c r="L36" s="66">
        <v>-1</v>
      </c>
      <c r="M36" s="12">
        <f t="shared" si="23"/>
        <v>-1</v>
      </c>
      <c r="N36" s="60">
        <f t="shared" si="24"/>
        <v>0</v>
      </c>
      <c r="O36" s="99" t="e">
        <f t="shared" si="25"/>
        <v>#REF!</v>
      </c>
      <c r="P36" s="90">
        <f t="shared" si="26"/>
        <v>0</v>
      </c>
      <c r="R36" s="99">
        <f>IF(OpeningTBType="YTD",'RPT MGT PnL'!O36,IF(OpeningTBType="EOY",P36,"Unknown Opening period type"))</f>
        <v>0</v>
      </c>
    </row>
    <row r="37" spans="1:18" ht="12.75" customHeight="1" x14ac:dyDescent="0.2">
      <c r="A37" s="18">
        <v>8310</v>
      </c>
      <c r="B37" s="19" t="s">
        <v>24</v>
      </c>
      <c r="C37" s="14">
        <f t="shared" si="17"/>
        <v>0</v>
      </c>
      <c r="D37" s="14">
        <f t="shared" si="18"/>
        <v>0</v>
      </c>
      <c r="E37" s="17"/>
      <c r="F37" s="90">
        <f t="shared" si="19"/>
        <v>0</v>
      </c>
      <c r="G37" s="14">
        <f t="shared" si="20"/>
        <v>0</v>
      </c>
      <c r="H37" s="119"/>
      <c r="I37" s="90" t="e">
        <f t="shared" si="21"/>
        <v>#REF!</v>
      </c>
      <c r="J37" s="90">
        <f t="shared" si="22"/>
        <v>0</v>
      </c>
      <c r="L37" s="66">
        <v>-1</v>
      </c>
      <c r="M37" s="12">
        <f t="shared" si="23"/>
        <v>-1</v>
      </c>
      <c r="N37" s="60">
        <f t="shared" si="24"/>
        <v>0</v>
      </c>
      <c r="O37" s="99" t="e">
        <f t="shared" si="25"/>
        <v>#REF!</v>
      </c>
      <c r="P37" s="90">
        <f t="shared" si="26"/>
        <v>0</v>
      </c>
      <c r="R37" s="99">
        <f>IF(OpeningTBType="YTD",'RPT MGT PnL'!O37,IF(OpeningTBType="EOY",P37,"Unknown Opening period type"))</f>
        <v>0</v>
      </c>
    </row>
    <row r="38" spans="1:18" ht="12.75" customHeight="1" x14ac:dyDescent="0.2">
      <c r="A38" s="20">
        <v>8400</v>
      </c>
      <c r="B38" s="21" t="s">
        <v>25</v>
      </c>
      <c r="C38" s="14">
        <f t="shared" si="17"/>
        <v>125</v>
      </c>
      <c r="D38" s="14">
        <f t="shared" si="18"/>
        <v>-684.76</v>
      </c>
      <c r="E38" s="17"/>
      <c r="F38" s="90">
        <f t="shared" si="19"/>
        <v>1500</v>
      </c>
      <c r="G38" s="14">
        <f t="shared" si="20"/>
        <v>690.24</v>
      </c>
      <c r="H38" s="119"/>
      <c r="I38" s="90" t="e">
        <f t="shared" si="21"/>
        <v>#REF!</v>
      </c>
      <c r="J38" s="90">
        <f t="shared" si="22"/>
        <v>1500</v>
      </c>
      <c r="L38" s="66">
        <v>-1</v>
      </c>
      <c r="M38" s="12">
        <f t="shared" si="23"/>
        <v>-1</v>
      </c>
      <c r="N38" s="60">
        <f t="shared" si="24"/>
        <v>0</v>
      </c>
      <c r="O38" s="99" t="e">
        <f t="shared" si="25"/>
        <v>#REF!</v>
      </c>
      <c r="P38" s="90">
        <f t="shared" si="26"/>
        <v>1500</v>
      </c>
      <c r="R38" s="99">
        <f>IF(OpeningTBType="YTD",'RPT MGT PnL'!O38,IF(OpeningTBType="EOY",P38,"Unknown Opening period type"))</f>
        <v>1500</v>
      </c>
    </row>
    <row r="39" spans="1:18" ht="12.75" customHeight="1" x14ac:dyDescent="0.2">
      <c r="A39" s="18">
        <v>8402</v>
      </c>
      <c r="B39" s="19" t="s">
        <v>26</v>
      </c>
      <c r="C39" s="14">
        <f t="shared" si="17"/>
        <v>424.26</v>
      </c>
      <c r="D39" s="14">
        <f t="shared" si="18"/>
        <v>492.9</v>
      </c>
      <c r="E39" s="17"/>
      <c r="F39" s="90">
        <f t="shared" si="19"/>
        <v>5687.25</v>
      </c>
      <c r="G39" s="14">
        <f t="shared" si="20"/>
        <v>6654.08</v>
      </c>
      <c r="H39" s="119"/>
      <c r="I39" s="90" t="e">
        <f t="shared" si="21"/>
        <v>#REF!</v>
      </c>
      <c r="J39" s="90">
        <f t="shared" si="22"/>
        <v>5687.25</v>
      </c>
      <c r="L39" s="66">
        <v>-1</v>
      </c>
      <c r="M39" s="12">
        <f t="shared" si="23"/>
        <v>-1</v>
      </c>
      <c r="N39" s="60">
        <f t="shared" si="24"/>
        <v>0</v>
      </c>
      <c r="O39" s="99" t="e">
        <f t="shared" si="25"/>
        <v>#REF!</v>
      </c>
      <c r="P39" s="90">
        <f t="shared" si="26"/>
        <v>5687.25</v>
      </c>
      <c r="R39" s="99">
        <f>IF(OpeningTBType="YTD",'RPT MGT PnL'!O39,IF(OpeningTBType="EOY",P39,"Unknown Opening period type"))</f>
        <v>5687.25</v>
      </c>
    </row>
    <row r="40" spans="1:18" ht="12.75" customHeight="1" x14ac:dyDescent="0.2">
      <c r="A40" s="11">
        <v>8405</v>
      </c>
      <c r="B40" s="14" t="s">
        <v>27</v>
      </c>
      <c r="C40" s="14">
        <f t="shared" si="17"/>
        <v>1227.44</v>
      </c>
      <c r="D40" s="14">
        <f t="shared" si="18"/>
        <v>2287.6999999999998</v>
      </c>
      <c r="E40" s="17"/>
      <c r="F40" s="90">
        <f t="shared" si="19"/>
        <v>11470.46</v>
      </c>
      <c r="G40" s="14">
        <f t="shared" si="20"/>
        <v>11439.54</v>
      </c>
      <c r="H40" s="119"/>
      <c r="I40" s="90" t="e">
        <f t="shared" si="21"/>
        <v>#REF!</v>
      </c>
      <c r="J40" s="90">
        <f t="shared" si="22"/>
        <v>11470.46</v>
      </c>
      <c r="L40" s="66">
        <v>-1</v>
      </c>
      <c r="M40" s="12">
        <f t="shared" si="23"/>
        <v>-1</v>
      </c>
      <c r="N40" s="60">
        <f t="shared" si="24"/>
        <v>0</v>
      </c>
      <c r="O40" s="99" t="e">
        <f t="shared" si="25"/>
        <v>#REF!</v>
      </c>
      <c r="P40" s="90">
        <f t="shared" si="26"/>
        <v>11470.46</v>
      </c>
      <c r="R40" s="99">
        <f>IF(OpeningTBType="YTD",'RPT MGT PnL'!O40,IF(OpeningTBType="EOY",P40,"Unknown Opening period type"))</f>
        <v>11470.46</v>
      </c>
    </row>
    <row r="41" spans="1:18" ht="12.75" customHeight="1" x14ac:dyDescent="0.2">
      <c r="A41" s="11">
        <v>8201</v>
      </c>
      <c r="B41" s="14" t="s">
        <v>28</v>
      </c>
      <c r="C41" s="14">
        <f t="shared" si="17"/>
        <v>180</v>
      </c>
      <c r="D41" s="14">
        <f t="shared" si="18"/>
        <v>0</v>
      </c>
      <c r="E41" s="17"/>
      <c r="F41" s="90">
        <f t="shared" si="19"/>
        <v>1303.5</v>
      </c>
      <c r="G41" s="14">
        <f t="shared" si="20"/>
        <v>0</v>
      </c>
      <c r="H41" s="119"/>
      <c r="I41" s="90" t="e">
        <f t="shared" si="21"/>
        <v>#REF!</v>
      </c>
      <c r="J41" s="90">
        <f t="shared" si="22"/>
        <v>1303.5</v>
      </c>
      <c r="L41" s="66">
        <v>-1</v>
      </c>
      <c r="M41" s="12">
        <f t="shared" si="23"/>
        <v>-1</v>
      </c>
      <c r="N41" s="60">
        <f t="shared" si="24"/>
        <v>0</v>
      </c>
      <c r="O41" s="99" t="e">
        <f t="shared" si="25"/>
        <v>#REF!</v>
      </c>
      <c r="P41" s="90">
        <f t="shared" si="26"/>
        <v>1303.5</v>
      </c>
      <c r="R41" s="99">
        <f>IF(OpeningTBType="YTD",'RPT MGT PnL'!O41,IF(OpeningTBType="EOY",P41,"Unknown Opening period type"))</f>
        <v>1303.5</v>
      </c>
    </row>
    <row r="42" spans="1:18" ht="12.75" customHeight="1" x14ac:dyDescent="0.2">
      <c r="A42" s="11">
        <v>8433</v>
      </c>
      <c r="B42" s="14" t="s">
        <v>29</v>
      </c>
      <c r="C42" s="14">
        <f t="shared" si="17"/>
        <v>150</v>
      </c>
      <c r="D42" s="14">
        <f t="shared" si="18"/>
        <v>0</v>
      </c>
      <c r="E42" s="17"/>
      <c r="F42" s="90">
        <f t="shared" si="19"/>
        <v>1385</v>
      </c>
      <c r="G42" s="14">
        <f t="shared" si="20"/>
        <v>2108</v>
      </c>
      <c r="H42" s="119"/>
      <c r="I42" s="90" t="e">
        <f t="shared" si="21"/>
        <v>#REF!</v>
      </c>
      <c r="J42" s="90">
        <f t="shared" si="22"/>
        <v>1385</v>
      </c>
      <c r="L42" s="66">
        <v>-1</v>
      </c>
      <c r="M42" s="12">
        <f t="shared" si="23"/>
        <v>-1</v>
      </c>
      <c r="N42" s="60">
        <f t="shared" si="24"/>
        <v>0</v>
      </c>
      <c r="O42" s="99" t="e">
        <f t="shared" si="25"/>
        <v>#REF!</v>
      </c>
      <c r="P42" s="90">
        <f t="shared" si="26"/>
        <v>1385</v>
      </c>
      <c r="R42" s="99">
        <f>IF(OpeningTBType="YTD",'RPT MGT PnL'!O42,IF(OpeningTBType="EOY",P42,"Unknown Opening period type"))</f>
        <v>1385</v>
      </c>
    </row>
    <row r="43" spans="1:18" ht="12.75" customHeight="1" x14ac:dyDescent="0.2">
      <c r="A43" s="11">
        <v>8408</v>
      </c>
      <c r="B43" s="14" t="s">
        <v>30</v>
      </c>
      <c r="C43" s="14">
        <f t="shared" si="17"/>
        <v>79.099999999999994</v>
      </c>
      <c r="D43" s="14">
        <f t="shared" si="18"/>
        <v>117.14</v>
      </c>
      <c r="E43" s="17"/>
      <c r="F43" s="90">
        <f t="shared" si="19"/>
        <v>973.54</v>
      </c>
      <c r="G43" s="14">
        <f t="shared" si="20"/>
        <v>1525.83</v>
      </c>
      <c r="H43" s="119"/>
      <c r="I43" s="90" t="e">
        <f t="shared" si="21"/>
        <v>#REF!</v>
      </c>
      <c r="J43" s="90">
        <f t="shared" si="22"/>
        <v>973.54</v>
      </c>
      <c r="L43" s="66">
        <v>-1</v>
      </c>
      <c r="M43" s="12">
        <f t="shared" si="23"/>
        <v>-1</v>
      </c>
      <c r="N43" s="60">
        <f t="shared" si="24"/>
        <v>0</v>
      </c>
      <c r="O43" s="99" t="e">
        <f t="shared" si="25"/>
        <v>#REF!</v>
      </c>
      <c r="P43" s="90">
        <f t="shared" si="26"/>
        <v>973.54</v>
      </c>
      <c r="R43" s="99">
        <f>IF(OpeningTBType="YTD",'RPT MGT PnL'!O43,IF(OpeningTBType="EOY",P43,"Unknown Opening period type"))</f>
        <v>973.54</v>
      </c>
    </row>
    <row r="44" spans="1:18" ht="12.75" customHeight="1" x14ac:dyDescent="0.2">
      <c r="A44" s="11">
        <v>8410</v>
      </c>
      <c r="B44" s="14" t="s">
        <v>31</v>
      </c>
      <c r="C44" s="14">
        <f t="shared" si="17"/>
        <v>2020</v>
      </c>
      <c r="D44" s="14">
        <f t="shared" si="18"/>
        <v>7932.54</v>
      </c>
      <c r="E44" s="17"/>
      <c r="F44" s="90">
        <f t="shared" si="19"/>
        <v>24240</v>
      </c>
      <c r="G44" s="14">
        <f t="shared" si="20"/>
        <v>30152.54</v>
      </c>
      <c r="H44" s="119"/>
      <c r="I44" s="90" t="e">
        <f t="shared" si="21"/>
        <v>#REF!</v>
      </c>
      <c r="J44" s="90">
        <f t="shared" si="22"/>
        <v>24240</v>
      </c>
      <c r="L44" s="66">
        <v>-1</v>
      </c>
      <c r="M44" s="12">
        <f t="shared" si="23"/>
        <v>-1</v>
      </c>
      <c r="N44" s="60">
        <f t="shared" si="24"/>
        <v>0</v>
      </c>
      <c r="O44" s="99" t="e">
        <f t="shared" si="25"/>
        <v>#REF!</v>
      </c>
      <c r="P44" s="90">
        <f t="shared" si="26"/>
        <v>24240</v>
      </c>
      <c r="R44" s="99">
        <f>IF(OpeningTBType="YTD",'RPT MGT PnL'!O44,IF(OpeningTBType="EOY",P44,"Unknown Opening period type"))</f>
        <v>24240</v>
      </c>
    </row>
    <row r="45" spans="1:18" ht="12.75" customHeight="1" x14ac:dyDescent="0.2">
      <c r="A45" s="11">
        <v>8414</v>
      </c>
      <c r="B45" s="14" t="s">
        <v>32</v>
      </c>
      <c r="C45" s="14">
        <f t="shared" si="17"/>
        <v>441.56</v>
      </c>
      <c r="D45" s="14">
        <f t="shared" si="18"/>
        <v>0</v>
      </c>
      <c r="E45" s="17"/>
      <c r="F45" s="90">
        <f t="shared" si="19"/>
        <v>1988.96</v>
      </c>
      <c r="G45" s="14">
        <f t="shared" si="20"/>
        <v>8521.7900000000009</v>
      </c>
      <c r="H45" s="119"/>
      <c r="I45" s="90" t="e">
        <f t="shared" si="21"/>
        <v>#REF!</v>
      </c>
      <c r="J45" s="90">
        <f t="shared" si="22"/>
        <v>1988.96</v>
      </c>
      <c r="L45" s="66">
        <v>-1</v>
      </c>
      <c r="M45" s="12">
        <f t="shared" si="23"/>
        <v>-1</v>
      </c>
      <c r="N45" s="60">
        <f t="shared" si="24"/>
        <v>0</v>
      </c>
      <c r="O45" s="99" t="e">
        <f t="shared" si="25"/>
        <v>#REF!</v>
      </c>
      <c r="P45" s="90">
        <f t="shared" si="26"/>
        <v>1988.96</v>
      </c>
      <c r="R45" s="99">
        <f>IF(OpeningTBType="YTD",'RPT MGT PnL'!O45,IF(OpeningTBType="EOY",P45,"Unknown Opening period type"))</f>
        <v>1988.96</v>
      </c>
    </row>
    <row r="46" spans="1:18" ht="12.75" customHeight="1" x14ac:dyDescent="0.2">
      <c r="A46" s="11">
        <v>8420</v>
      </c>
      <c r="B46" s="14" t="s">
        <v>33</v>
      </c>
      <c r="C46" s="14">
        <f t="shared" si="17"/>
        <v>12081.69</v>
      </c>
      <c r="D46" s="14">
        <f t="shared" si="18"/>
        <v>9773.93</v>
      </c>
      <c r="E46" s="17"/>
      <c r="F46" s="90">
        <f t="shared" si="19"/>
        <v>147627.26</v>
      </c>
      <c r="G46" s="14">
        <f t="shared" si="20"/>
        <v>138554.26</v>
      </c>
      <c r="H46" s="119"/>
      <c r="I46" s="90" t="e">
        <f t="shared" si="21"/>
        <v>#REF!</v>
      </c>
      <c r="J46" s="90">
        <f t="shared" si="22"/>
        <v>147627.26</v>
      </c>
      <c r="L46" s="66">
        <v>-1</v>
      </c>
      <c r="M46" s="12">
        <f t="shared" si="23"/>
        <v>-1</v>
      </c>
      <c r="N46" s="60">
        <f t="shared" si="24"/>
        <v>0</v>
      </c>
      <c r="O46" s="99" t="e">
        <f t="shared" si="25"/>
        <v>#REF!</v>
      </c>
      <c r="P46" s="90">
        <f t="shared" si="26"/>
        <v>147627.26</v>
      </c>
      <c r="R46" s="99">
        <f>IF(OpeningTBType="YTD",'RPT MGT PnL'!O46,IF(OpeningTBType="EOY",P46,"Unknown Opening period type"))</f>
        <v>147627.26</v>
      </c>
    </row>
    <row r="47" spans="1:18" ht="12.75" customHeight="1" x14ac:dyDescent="0.2">
      <c r="A47" s="11">
        <v>8424</v>
      </c>
      <c r="B47" s="14" t="s">
        <v>34</v>
      </c>
      <c r="C47" s="14">
        <f t="shared" si="17"/>
        <v>0</v>
      </c>
      <c r="D47" s="14">
        <f t="shared" si="18"/>
        <v>0</v>
      </c>
      <c r="E47" s="17"/>
      <c r="F47" s="90">
        <f t="shared" si="19"/>
        <v>2769.57</v>
      </c>
      <c r="G47" s="14">
        <f t="shared" si="20"/>
        <v>2403.63</v>
      </c>
      <c r="H47" s="119"/>
      <c r="I47" s="90" t="e">
        <f t="shared" si="21"/>
        <v>#REF!</v>
      </c>
      <c r="J47" s="90">
        <f t="shared" si="22"/>
        <v>2769.57</v>
      </c>
      <c r="L47" s="66">
        <v>-1</v>
      </c>
      <c r="M47" s="12">
        <f t="shared" si="23"/>
        <v>-1</v>
      </c>
      <c r="N47" s="60">
        <f t="shared" si="24"/>
        <v>0</v>
      </c>
      <c r="O47" s="99" t="e">
        <f t="shared" si="25"/>
        <v>#REF!</v>
      </c>
      <c r="P47" s="90">
        <f t="shared" si="26"/>
        <v>2769.57</v>
      </c>
      <c r="R47" s="99">
        <f>IF(OpeningTBType="YTD",'RPT MGT PnL'!O47,IF(OpeningTBType="EOY",P47,"Unknown Opening period type"))</f>
        <v>2769.57</v>
      </c>
    </row>
    <row r="48" spans="1:18" ht="12.75" customHeight="1" x14ac:dyDescent="0.2">
      <c r="A48" s="11">
        <v>8426</v>
      </c>
      <c r="B48" s="14" t="s">
        <v>35</v>
      </c>
      <c r="C48" s="14">
        <f t="shared" si="17"/>
        <v>700</v>
      </c>
      <c r="D48" s="14">
        <f t="shared" si="18"/>
        <v>-723.74</v>
      </c>
      <c r="E48" s="17"/>
      <c r="F48" s="90">
        <f t="shared" si="19"/>
        <v>8666.5400000000009</v>
      </c>
      <c r="G48" s="14">
        <f t="shared" si="20"/>
        <v>6991.81</v>
      </c>
      <c r="H48" s="119"/>
      <c r="I48" s="90" t="e">
        <f t="shared" si="21"/>
        <v>#REF!</v>
      </c>
      <c r="J48" s="90">
        <f t="shared" si="22"/>
        <v>8666.5400000000009</v>
      </c>
      <c r="L48" s="66">
        <v>-1</v>
      </c>
      <c r="M48" s="12">
        <f t="shared" si="23"/>
        <v>-1</v>
      </c>
      <c r="N48" s="60">
        <f t="shared" si="24"/>
        <v>0</v>
      </c>
      <c r="O48" s="99" t="e">
        <f t="shared" si="25"/>
        <v>#REF!</v>
      </c>
      <c r="P48" s="90">
        <f t="shared" si="26"/>
        <v>8666.5400000000009</v>
      </c>
      <c r="R48" s="99">
        <f>IF(OpeningTBType="YTD",'RPT MGT PnL'!O48,IF(OpeningTBType="EOY",P48,"Unknown Opening period type"))</f>
        <v>8666.5400000000009</v>
      </c>
    </row>
    <row r="49" spans="1:18" ht="12.75" customHeight="1" x14ac:dyDescent="0.2">
      <c r="A49" s="11">
        <v>8430</v>
      </c>
      <c r="B49" s="90" t="s">
        <v>36</v>
      </c>
      <c r="C49" s="14">
        <f t="shared" si="17"/>
        <v>186.13</v>
      </c>
      <c r="D49" s="14">
        <f t="shared" si="18"/>
        <v>-4063.9</v>
      </c>
      <c r="E49" s="17"/>
      <c r="F49" s="90">
        <f t="shared" si="19"/>
        <v>7055.5</v>
      </c>
      <c r="G49" s="14">
        <f t="shared" si="20"/>
        <v>-571.91999999999996</v>
      </c>
      <c r="H49" s="119"/>
      <c r="I49" s="90" t="e">
        <f t="shared" si="21"/>
        <v>#REF!</v>
      </c>
      <c r="J49" s="90">
        <f t="shared" si="22"/>
        <v>7055.5</v>
      </c>
      <c r="L49" s="66">
        <v>-1</v>
      </c>
      <c r="M49" s="12">
        <f t="shared" si="23"/>
        <v>-1</v>
      </c>
      <c r="N49" s="60">
        <f t="shared" si="24"/>
        <v>0</v>
      </c>
      <c r="O49" s="99" t="e">
        <f t="shared" si="25"/>
        <v>#REF!</v>
      </c>
      <c r="P49" s="90">
        <f t="shared" si="26"/>
        <v>7055.5</v>
      </c>
      <c r="R49" s="99">
        <f>IF(OpeningTBType="YTD",'RPT MGT PnL'!O49,IF(OpeningTBType="EOY",P49,"Unknown Opening period type"))</f>
        <v>7055.5</v>
      </c>
    </row>
    <row r="50" spans="1:18" ht="12.75" customHeight="1" x14ac:dyDescent="0.2">
      <c r="A50" s="11">
        <v>8435</v>
      </c>
      <c r="B50" s="14" t="s">
        <v>37</v>
      </c>
      <c r="C50" s="14">
        <f t="shared" si="17"/>
        <v>922.6</v>
      </c>
      <c r="D50" s="14">
        <f t="shared" si="18"/>
        <v>882.46</v>
      </c>
      <c r="E50" s="17"/>
      <c r="F50" s="90">
        <f t="shared" si="19"/>
        <v>2428.98</v>
      </c>
      <c r="G50" s="14">
        <f t="shared" si="20"/>
        <v>5256.96</v>
      </c>
      <c r="H50" s="119"/>
      <c r="I50" s="90" t="e">
        <f t="shared" si="21"/>
        <v>#REF!</v>
      </c>
      <c r="J50" s="90">
        <f t="shared" si="22"/>
        <v>2428.98</v>
      </c>
      <c r="L50" s="66">
        <v>-1</v>
      </c>
      <c r="M50" s="12">
        <f t="shared" si="23"/>
        <v>-1</v>
      </c>
      <c r="N50" s="60">
        <f t="shared" si="24"/>
        <v>0</v>
      </c>
      <c r="O50" s="99" t="e">
        <f t="shared" si="25"/>
        <v>#REF!</v>
      </c>
      <c r="P50" s="90">
        <f t="shared" si="26"/>
        <v>2428.98</v>
      </c>
      <c r="R50" s="99">
        <f>IF(OpeningTBType="YTD",'RPT MGT PnL'!O50,IF(OpeningTBType="EOY",P50,"Unknown Opening period type"))</f>
        <v>2428.98</v>
      </c>
    </row>
    <row r="51" spans="1:18" ht="12.75" customHeight="1" x14ac:dyDescent="0.2">
      <c r="A51" s="11">
        <v>8440</v>
      </c>
      <c r="B51" s="14" t="s">
        <v>38</v>
      </c>
      <c r="C51" s="14">
        <f t="shared" si="17"/>
        <v>510</v>
      </c>
      <c r="D51" s="14">
        <f t="shared" si="18"/>
        <v>1112.82</v>
      </c>
      <c r="E51" s="17"/>
      <c r="F51" s="90">
        <f t="shared" si="19"/>
        <v>6728.89</v>
      </c>
      <c r="G51" s="14">
        <f t="shared" si="20"/>
        <v>10129.83</v>
      </c>
      <c r="H51" s="119"/>
      <c r="I51" s="90" t="e">
        <f t="shared" si="21"/>
        <v>#REF!</v>
      </c>
      <c r="J51" s="90">
        <f t="shared" si="22"/>
        <v>6728.89</v>
      </c>
      <c r="L51" s="66">
        <v>-1</v>
      </c>
      <c r="M51" s="12">
        <f t="shared" si="23"/>
        <v>-1</v>
      </c>
      <c r="N51" s="60">
        <f t="shared" si="24"/>
        <v>0</v>
      </c>
      <c r="O51" s="99" t="e">
        <f t="shared" si="25"/>
        <v>#REF!</v>
      </c>
      <c r="P51" s="90">
        <f t="shared" si="26"/>
        <v>6728.89</v>
      </c>
      <c r="R51" s="99">
        <f>IF(OpeningTBType="YTD",'RPT MGT PnL'!O51,IF(OpeningTBType="EOY",P51,"Unknown Opening period type"))</f>
        <v>6728.89</v>
      </c>
    </row>
    <row r="52" spans="1:18" ht="12.75" customHeight="1" x14ac:dyDescent="0.2">
      <c r="A52" s="1"/>
      <c r="B52" s="12" t="s">
        <v>39</v>
      </c>
      <c r="C52" s="9">
        <f>SUM(C31:C51)</f>
        <v>19726.189999999999</v>
      </c>
      <c r="D52" s="9">
        <f>SUM(D31:D51)</f>
        <v>19004.169999999995</v>
      </c>
      <c r="E52" s="9"/>
      <c r="F52" s="9">
        <f>SUM(F31:F51)</f>
        <v>232268.36000000004</v>
      </c>
      <c r="G52" s="9">
        <f>SUM(G31:G51)</f>
        <v>233839.02999999997</v>
      </c>
      <c r="H52" s="119"/>
      <c r="J52" s="9">
        <f>SUM(J31:J51)</f>
        <v>232268.36000000004</v>
      </c>
      <c r="O52" s="9" t="e">
        <f>SUM(O31:O51)</f>
        <v>#REF!</v>
      </c>
      <c r="P52" s="9">
        <f>SUM(P31:P51)</f>
        <v>232268.36000000004</v>
      </c>
      <c r="R52" s="9">
        <f>SUM(R31:R51)</f>
        <v>232268.36000000004</v>
      </c>
    </row>
    <row r="53" spans="1:18" ht="12.75" customHeight="1" x14ac:dyDescent="0.2">
      <c r="A53" s="11"/>
      <c r="B53" s="14"/>
      <c r="C53" s="14"/>
      <c r="D53" s="15"/>
      <c r="E53" s="16"/>
      <c r="F53" s="16"/>
      <c r="G53" s="15"/>
      <c r="H53" s="119"/>
    </row>
    <row r="54" spans="1:18" ht="12.75" customHeight="1" x14ac:dyDescent="0.2">
      <c r="A54" s="11">
        <v>4905</v>
      </c>
      <c r="B54" s="14" t="s">
        <v>40</v>
      </c>
      <c r="C54" s="14">
        <f>VLOOKUP(A54,TB_Period,8,FALSE)*L54</f>
        <v>3648.66</v>
      </c>
      <c r="D54" s="14">
        <f>VLOOKUP(A54,MTD,PLTD_PYPMTD,FALSE)</f>
        <v>4830.1499999999996</v>
      </c>
      <c r="E54" s="17"/>
      <c r="F54" s="90">
        <f t="shared" ref="F54:F58" si="27">R54</f>
        <v>39515.32</v>
      </c>
      <c r="G54" s="14">
        <f>VLOOKUP(A54,MTD,PLTD_PYTD,FALSE)</f>
        <v>36281.97</v>
      </c>
      <c r="H54" s="119"/>
      <c r="I54" s="90" t="e">
        <f>VLOOKUP($A54,MTD,PLTD_OMYTD,FALSE)</f>
        <v>#REF!</v>
      </c>
      <c r="J54" s="90">
        <f>VLOOKUP($A54,TB_Period,$J$3,FALSE)*$L54</f>
        <v>39515.32</v>
      </c>
      <c r="L54" s="66">
        <v>-1</v>
      </c>
      <c r="M54" s="12">
        <f>VLOOKUP($A54,TB_Period,$M$3,FALSE)</f>
        <v>-1</v>
      </c>
      <c r="N54" s="60">
        <f t="shared" ref="N54:N58" si="28">L54-M54</f>
        <v>0</v>
      </c>
      <c r="O54" s="99" t="e">
        <f t="shared" ref="O54:O58" si="29">I54+J54</f>
        <v>#REF!</v>
      </c>
      <c r="P54" s="90">
        <f>VLOOKUP($A54,TB_Period,$P$3,FALSE)*$L54</f>
        <v>39515.32</v>
      </c>
      <c r="R54" s="99">
        <f>IF(OpeningTBType="YTD",'RPT MGT PnL'!O54,IF(OpeningTBType="EOY",P54,"Unknown Opening period type"))</f>
        <v>39515.32</v>
      </c>
    </row>
    <row r="55" spans="1:18" ht="12.75" customHeight="1" x14ac:dyDescent="0.2">
      <c r="A55" s="11">
        <v>6100</v>
      </c>
      <c r="B55" s="14" t="s">
        <v>41</v>
      </c>
      <c r="C55" s="14">
        <f>VLOOKUP(A55,TB_Period,8,FALSE)*L55</f>
        <v>26.42</v>
      </c>
      <c r="D55" s="14">
        <f>VLOOKUP(A55,MTD,PLTD_PYPMTD,FALSE)</f>
        <v>236.31</v>
      </c>
      <c r="E55" s="17"/>
      <c r="F55" s="90">
        <f t="shared" si="27"/>
        <v>15686.32</v>
      </c>
      <c r="G55" s="14">
        <f>VLOOKUP(A55,MTD,PLTD_PYTD,FALSE)</f>
        <v>6663</v>
      </c>
      <c r="H55" s="119"/>
      <c r="I55" s="90" t="e">
        <f>VLOOKUP($A55,MTD,PLTD_OMYTD,FALSE)</f>
        <v>#REF!</v>
      </c>
      <c r="J55" s="90">
        <f>VLOOKUP($A55,TB_Period,$J$3,FALSE)*$L55</f>
        <v>15686.32</v>
      </c>
      <c r="L55" s="66">
        <v>-1</v>
      </c>
      <c r="M55" s="12">
        <f>VLOOKUP($A55,TB_Period,$M$3,FALSE)</f>
        <v>-1</v>
      </c>
      <c r="N55" s="60">
        <f t="shared" si="28"/>
        <v>0</v>
      </c>
      <c r="O55" s="99" t="e">
        <f t="shared" si="29"/>
        <v>#REF!</v>
      </c>
      <c r="P55" s="90">
        <f>VLOOKUP($A55,TB_Period,$P$3,FALSE)*$L55</f>
        <v>15686.32</v>
      </c>
      <c r="R55" s="99">
        <f>IF(OpeningTBType="YTD",'RPT MGT PnL'!O55,IF(OpeningTBType="EOY",P55,"Unknown Opening period type"))</f>
        <v>15686.32</v>
      </c>
    </row>
    <row r="56" spans="1:18" ht="12.75" customHeight="1" x14ac:dyDescent="0.2">
      <c r="A56" s="11">
        <v>6200</v>
      </c>
      <c r="B56" s="14" t="s">
        <v>42</v>
      </c>
      <c r="C56" s="14">
        <f>VLOOKUP(A56,TB_Period,8,FALSE)*L56</f>
        <v>2888.23</v>
      </c>
      <c r="D56" s="14">
        <f>VLOOKUP(A56,MTD,PLTD_PYPMTD,FALSE)</f>
        <v>1605.3</v>
      </c>
      <c r="E56" s="17"/>
      <c r="F56" s="90">
        <f t="shared" si="27"/>
        <v>28912.41</v>
      </c>
      <c r="G56" s="14">
        <f>VLOOKUP(A56,MTD,PLTD_PYTD,FALSE)</f>
        <v>21519.02</v>
      </c>
      <c r="H56" s="119"/>
      <c r="I56" s="90" t="e">
        <f>VLOOKUP($A56,MTD,PLTD_OMYTD,FALSE)</f>
        <v>#REF!</v>
      </c>
      <c r="J56" s="90">
        <f>VLOOKUP($A56,TB_Period,$J$3,FALSE)*$L56</f>
        <v>28912.41</v>
      </c>
      <c r="L56" s="66">
        <v>-1</v>
      </c>
      <c r="M56" s="12">
        <f>VLOOKUP($A56,TB_Period,$M$3,FALSE)</f>
        <v>-1</v>
      </c>
      <c r="N56" s="60">
        <f t="shared" si="28"/>
        <v>0</v>
      </c>
      <c r="O56" s="99" t="e">
        <f t="shared" si="29"/>
        <v>#REF!</v>
      </c>
      <c r="P56" s="90">
        <f>VLOOKUP($A56,TB_Period,$P$3,FALSE)*$L56</f>
        <v>28912.41</v>
      </c>
      <c r="R56" s="99">
        <f>IF(OpeningTBType="YTD",'RPT MGT PnL'!O56,IF(OpeningTBType="EOY",P56,"Unknown Opening period type"))</f>
        <v>28912.41</v>
      </c>
    </row>
    <row r="57" spans="1:18" ht="12.75" customHeight="1" x14ac:dyDescent="0.2">
      <c r="A57" s="11">
        <v>6201</v>
      </c>
      <c r="B57" s="14" t="s">
        <v>43</v>
      </c>
      <c r="C57" s="14">
        <f>VLOOKUP(A57,TB_Period,8,FALSE)*L57</f>
        <v>51.58</v>
      </c>
      <c r="D57" s="14">
        <f>VLOOKUP(A57,MTD,PLTD_PYPMTD,FALSE)</f>
        <v>0</v>
      </c>
      <c r="E57" s="17"/>
      <c r="F57" s="90">
        <f t="shared" si="27"/>
        <v>6265.43</v>
      </c>
      <c r="G57" s="14">
        <f>VLOOKUP(A57,MTD,PLTD_PYTD,FALSE)</f>
        <v>7321.29</v>
      </c>
      <c r="H57" s="119"/>
      <c r="I57" s="90" t="e">
        <f>VLOOKUP($A57,MTD,PLTD_OMYTD,FALSE)</f>
        <v>#REF!</v>
      </c>
      <c r="J57" s="90">
        <f>VLOOKUP($A57,TB_Period,$J$3,FALSE)*$L57</f>
        <v>6265.43</v>
      </c>
      <c r="L57" s="66">
        <v>-1</v>
      </c>
      <c r="M57" s="12">
        <f>VLOOKUP($A57,TB_Period,$M$3,FALSE)</f>
        <v>-1</v>
      </c>
      <c r="N57" s="60">
        <f t="shared" si="28"/>
        <v>0</v>
      </c>
      <c r="O57" s="99" t="e">
        <f t="shared" si="29"/>
        <v>#REF!</v>
      </c>
      <c r="P57" s="90">
        <f>VLOOKUP($A57,TB_Period,$P$3,FALSE)*$L57</f>
        <v>6265.43</v>
      </c>
      <c r="R57" s="99">
        <f>IF(OpeningTBType="YTD",'RPT MGT PnL'!O57,IF(OpeningTBType="EOY",P57,"Unknown Opening period type"))</f>
        <v>6265.43</v>
      </c>
    </row>
    <row r="58" spans="1:18" ht="12.75" customHeight="1" x14ac:dyDescent="0.2">
      <c r="A58" s="11">
        <v>4009</v>
      </c>
      <c r="B58" s="14" t="s">
        <v>44</v>
      </c>
      <c r="C58" s="14">
        <f>VLOOKUP(A58,TB_Period,8,FALSE)*L58</f>
        <v>3234.98</v>
      </c>
      <c r="D58" s="14">
        <f>VLOOKUP(A58,MTD,PLTD_PYPMTD,FALSE)</f>
        <v>3745.53</v>
      </c>
      <c r="E58" s="17"/>
      <c r="F58" s="90">
        <f t="shared" si="27"/>
        <v>37785.879999999997</v>
      </c>
      <c r="G58" s="14">
        <f>VLOOKUP(A58,MTD,PLTD_PYTD,FALSE)</f>
        <v>29550.32</v>
      </c>
      <c r="H58" s="119"/>
      <c r="I58" s="90" t="e">
        <f>VLOOKUP($A58,MTD,PLTD_OMYTD,FALSE)</f>
        <v>#REF!</v>
      </c>
      <c r="J58" s="90">
        <f>VLOOKUP($A58,TB_Period,$J$3,FALSE)*$L58</f>
        <v>37785.879999999997</v>
      </c>
      <c r="L58" s="66">
        <v>-1</v>
      </c>
      <c r="M58" s="12">
        <f>VLOOKUP($A58,TB_Period,$M$3,FALSE)</f>
        <v>-1</v>
      </c>
      <c r="N58" s="60">
        <f t="shared" si="28"/>
        <v>0</v>
      </c>
      <c r="O58" s="99" t="e">
        <f t="shared" si="29"/>
        <v>#REF!</v>
      </c>
      <c r="P58" s="90">
        <f>VLOOKUP($A58,TB_Period,$P$3,FALSE)*$L58</f>
        <v>37785.879999999997</v>
      </c>
      <c r="R58" s="99">
        <f>IF(OpeningTBType="YTD",'RPT MGT PnL'!O58,IF(OpeningTBType="EOY",P58,"Unknown Opening period type"))</f>
        <v>37785.879999999997</v>
      </c>
    </row>
    <row r="59" spans="1:18" ht="12.75" customHeight="1" x14ac:dyDescent="0.2">
      <c r="A59" s="1"/>
      <c r="B59" s="12" t="s">
        <v>45</v>
      </c>
      <c r="C59" s="22">
        <f>SUM(C54:C58)</f>
        <v>9849.869999999999</v>
      </c>
      <c r="D59" s="22">
        <f>SUM(D54:D58)</f>
        <v>10417.290000000001</v>
      </c>
      <c r="E59" s="23"/>
      <c r="F59" s="9">
        <f>SUM(F54:F58)</f>
        <v>128165.36000000002</v>
      </c>
      <c r="G59" s="9">
        <f>SUM(G54:G58)</f>
        <v>101335.6</v>
      </c>
      <c r="H59" s="119"/>
      <c r="J59" s="9">
        <f>SUM(J54:J58)</f>
        <v>128165.36000000002</v>
      </c>
      <c r="O59" s="9" t="e">
        <f>SUM(O54:O58)</f>
        <v>#REF!</v>
      </c>
      <c r="P59" s="9">
        <f>SUM(P54:P58)</f>
        <v>128165.36000000002</v>
      </c>
      <c r="R59" s="9">
        <f>SUM(R54:R58)</f>
        <v>128165.36000000002</v>
      </c>
    </row>
    <row r="60" spans="1:18" ht="12.75" customHeight="1" x14ac:dyDescent="0.2">
      <c r="A60" s="11"/>
      <c r="B60" s="14"/>
      <c r="C60" s="14"/>
      <c r="D60" s="24"/>
      <c r="E60" s="16"/>
      <c r="F60" s="16"/>
      <c r="G60" s="15"/>
      <c r="H60" s="119"/>
    </row>
    <row r="61" spans="1:18" ht="12.75" customHeight="1" x14ac:dyDescent="0.2">
      <c r="A61" s="1"/>
      <c r="B61" s="12" t="s">
        <v>46</v>
      </c>
      <c r="C61" s="9">
        <f>C15+C23+C29+C52+C59</f>
        <v>148821.1</v>
      </c>
      <c r="D61" s="9">
        <f>D15+D23+D29+D52+D59</f>
        <v>120963.73999999999</v>
      </c>
      <c r="E61" s="9"/>
      <c r="F61" s="9">
        <f>F15+F23+F29+F52+F59</f>
        <v>1665407.3200000003</v>
      </c>
      <c r="G61" s="9">
        <f>G15+G23+G29+G52+G59</f>
        <v>1582479.74</v>
      </c>
      <c r="H61" s="119"/>
      <c r="J61" s="9">
        <f>J13+J23+J29+J52+J59</f>
        <v>1665407.3200000003</v>
      </c>
      <c r="O61" s="9" t="e">
        <f>O13+O23+O29+O52+O59</f>
        <v>#REF!</v>
      </c>
      <c r="P61" s="9">
        <f>P13+P23+P29+P52+P59</f>
        <v>1665407.3200000003</v>
      </c>
      <c r="R61" s="9">
        <f>R13+R23+R29+R52+R59</f>
        <v>1665407.3200000003</v>
      </c>
    </row>
    <row r="62" spans="1:18" ht="12.75" customHeight="1" x14ac:dyDescent="0.2">
      <c r="A62" s="11"/>
      <c r="B62" s="14"/>
      <c r="C62" s="14"/>
      <c r="D62" s="15"/>
      <c r="E62" s="16"/>
      <c r="F62" s="16"/>
      <c r="G62" s="15"/>
      <c r="H62" s="119"/>
    </row>
    <row r="63" spans="1:18" ht="12.75" customHeight="1" x14ac:dyDescent="0.2">
      <c r="A63" s="1"/>
      <c r="B63" s="12" t="s">
        <v>47</v>
      </c>
      <c r="C63" s="9">
        <f>C11-C61</f>
        <v>11833.380000000005</v>
      </c>
      <c r="D63" s="9">
        <f>D11-D61</f>
        <v>75044.010000000009</v>
      </c>
      <c r="E63" s="9"/>
      <c r="F63" s="9">
        <f>F11-F61</f>
        <v>-8574.4700000002049</v>
      </c>
      <c r="G63" s="9">
        <f>G11-G61</f>
        <v>45685.489999999991</v>
      </c>
      <c r="H63" s="119"/>
      <c r="J63" s="9">
        <f>J11-J61</f>
        <v>-8574.4700000004377</v>
      </c>
      <c r="O63" s="9" t="e">
        <f>O11-O61</f>
        <v>#REF!</v>
      </c>
      <c r="P63" s="9">
        <f>P11-P61</f>
        <v>-8574.4700000002049</v>
      </c>
      <c r="R63" s="9">
        <f>R11-R61</f>
        <v>-8574.4700000002049</v>
      </c>
    </row>
    <row r="64" spans="1:18" ht="12.75" customHeight="1" x14ac:dyDescent="0.2">
      <c r="A64" s="124"/>
      <c r="B64" s="125"/>
      <c r="C64" s="125"/>
      <c r="D64" s="126"/>
      <c r="E64" s="126"/>
      <c r="F64" s="126"/>
      <c r="G64" s="126"/>
      <c r="H64" s="118"/>
    </row>
    <row r="65" spans="1:8" ht="12.75" customHeight="1" x14ac:dyDescent="0.2">
      <c r="A65" s="119"/>
      <c r="B65" s="119"/>
      <c r="C65" s="119"/>
      <c r="D65" s="127"/>
      <c r="E65" s="120"/>
      <c r="F65" s="119"/>
      <c r="G65" s="119"/>
      <c r="H65" s="118"/>
    </row>
    <row r="66" spans="1:8" ht="12.75" customHeight="1" x14ac:dyDescent="0.2">
      <c r="A66" s="119"/>
      <c r="B66" s="119"/>
      <c r="C66" s="119"/>
      <c r="D66" s="128"/>
      <c r="E66" s="120"/>
      <c r="F66" s="119"/>
      <c r="G66" s="119"/>
      <c r="H66" s="118"/>
    </row>
    <row r="67" spans="1:8" ht="12.75" customHeight="1" x14ac:dyDescent="0.2">
      <c r="A67" s="119"/>
      <c r="B67" s="119"/>
      <c r="C67" s="119"/>
      <c r="D67" s="120"/>
      <c r="E67" s="120"/>
      <c r="F67" s="119"/>
      <c r="G67" s="119"/>
      <c r="H67" s="118"/>
    </row>
    <row r="68" spans="1:8" ht="12.75" customHeight="1" x14ac:dyDescent="0.2">
      <c r="A68" s="119"/>
      <c r="B68" s="119"/>
      <c r="C68" s="119"/>
      <c r="D68" s="120"/>
      <c r="E68" s="120"/>
      <c r="F68" s="119"/>
      <c r="G68" s="120" t="s">
        <v>48</v>
      </c>
      <c r="H68" s="118"/>
    </row>
    <row r="69" spans="1:8" ht="12.75" customHeight="1" x14ac:dyDescent="0.2">
      <c r="A69" s="119"/>
      <c r="B69" s="119"/>
      <c r="C69" s="119"/>
      <c r="D69" s="120"/>
      <c r="E69" s="120"/>
      <c r="F69" s="119"/>
      <c r="G69" s="119"/>
      <c r="H69" s="118"/>
    </row>
    <row r="70" spans="1:8" ht="12.75" customHeight="1" x14ac:dyDescent="0.2">
      <c r="A70" s="119"/>
      <c r="B70" s="119"/>
      <c r="C70" s="119"/>
      <c r="D70" s="120"/>
      <c r="E70" s="120"/>
      <c r="F70" s="119"/>
      <c r="G70" s="119"/>
      <c r="H70" s="118"/>
    </row>
  </sheetData>
  <conditionalFormatting sqref="N11">
    <cfRule type="cellIs" dxfId="47" priority="13" operator="notBetween">
      <formula>-0.005</formula>
      <formula>0.005</formula>
    </cfRule>
    <cfRule type="cellIs" dxfId="46" priority="14" operator="between">
      <formula>-0.005</formula>
      <formula>0.005</formula>
    </cfRule>
  </conditionalFormatting>
  <conditionalFormatting sqref="N13 N15">
    <cfRule type="cellIs" dxfId="45" priority="11" operator="notBetween">
      <formula>-0.005</formula>
      <formula>0.005</formula>
    </cfRule>
    <cfRule type="cellIs" dxfId="44" priority="12" operator="between">
      <formula>-0.005</formula>
      <formula>0.005</formula>
    </cfRule>
  </conditionalFormatting>
  <conditionalFormatting sqref="N17:N22">
    <cfRule type="cellIs" dxfId="43" priority="9" operator="notBetween">
      <formula>-0.005</formula>
      <formula>0.005</formula>
    </cfRule>
    <cfRule type="cellIs" dxfId="42" priority="10" operator="between">
      <formula>-0.005</formula>
      <formula>0.005</formula>
    </cfRule>
  </conditionalFormatting>
  <conditionalFormatting sqref="N25:N28">
    <cfRule type="cellIs" dxfId="41" priority="7" operator="notBetween">
      <formula>-0.005</formula>
      <formula>0.005</formula>
    </cfRule>
    <cfRule type="cellIs" dxfId="40" priority="8" operator="between">
      <formula>-0.005</formula>
      <formula>0.005</formula>
    </cfRule>
  </conditionalFormatting>
  <conditionalFormatting sqref="N31:N51">
    <cfRule type="cellIs" dxfId="39" priority="5" operator="notBetween">
      <formula>-0.005</formula>
      <formula>0.005</formula>
    </cfRule>
    <cfRule type="cellIs" dxfId="38" priority="6" operator="between">
      <formula>-0.005</formula>
      <formula>0.005</formula>
    </cfRule>
  </conditionalFormatting>
  <conditionalFormatting sqref="N54:N58">
    <cfRule type="cellIs" dxfId="37" priority="3" operator="notBetween">
      <formula>-0.005</formula>
      <formula>0.005</formula>
    </cfRule>
    <cfRule type="cellIs" dxfId="36" priority="4" operator="between">
      <formula>-0.005</formula>
      <formula>0.005</formula>
    </cfRule>
  </conditionalFormatting>
  <conditionalFormatting sqref="N14">
    <cfRule type="cellIs" dxfId="35" priority="1" operator="notBetween">
      <formula>-0.005</formula>
      <formula>0.005</formula>
    </cfRule>
    <cfRule type="cellIs" dxfId="34" priority="2" operator="between">
      <formula>-0.005</formula>
      <formula>0.005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90" orientation="portrait" horizontalDpi="180" verticalDpi="180" r:id="rId1"/>
  <headerFooter alignWithMargins="0">
    <oddHeader>&amp;LSLUMBERFLEECE&amp;CPROFIT &amp;&amp; LOSS ACCOUNT&amp;RJan 16</oddHeader>
    <oddFooter>&amp;L&amp;F&amp;R&amp;D &amp;T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48"/>
  <sheetViews>
    <sheetView workbookViewId="0">
      <selection activeCell="I28" sqref="I28"/>
    </sheetView>
  </sheetViews>
  <sheetFormatPr defaultRowHeight="15" x14ac:dyDescent="0.25"/>
  <cols>
    <col min="2" max="5" width="14.28515625" customWidth="1"/>
    <col min="6" max="7" width="13.5703125" bestFit="1" customWidth="1"/>
    <col min="8" max="11" width="14.28515625" customWidth="1"/>
  </cols>
  <sheetData>
    <row r="1" spans="1:11" x14ac:dyDescent="0.25">
      <c r="A1" t="s">
        <v>426</v>
      </c>
    </row>
    <row r="2" spans="1:11" x14ac:dyDescent="0.25">
      <c r="A2" t="s">
        <v>427</v>
      </c>
    </row>
    <row r="4" spans="1:11" x14ac:dyDescent="0.25">
      <c r="B4" s="147" t="s">
        <v>428</v>
      </c>
      <c r="C4" s="147"/>
      <c r="D4" s="148" t="s">
        <v>429</v>
      </c>
      <c r="E4" s="148"/>
      <c r="F4" s="149" t="s">
        <v>141</v>
      </c>
      <c r="G4" s="149"/>
      <c r="H4" s="147" t="s">
        <v>434</v>
      </c>
      <c r="I4" s="147"/>
      <c r="J4" s="147" t="s">
        <v>435</v>
      </c>
      <c r="K4" s="147"/>
    </row>
    <row r="5" spans="1:11" s="79" customFormat="1" x14ac:dyDescent="0.25">
      <c r="B5" s="47"/>
      <c r="C5" s="47"/>
      <c r="D5" s="144" t="e">
        <f>MATCH(D8,INDEX(MTD,1,),0)</f>
        <v>#N/A</v>
      </c>
      <c r="E5" s="144" t="e">
        <f>MATCH(E8,INDEX(MTD,1,),0)</f>
        <v>#N/A</v>
      </c>
      <c r="F5" s="47"/>
      <c r="G5" s="47"/>
      <c r="H5" s="47"/>
      <c r="I5" s="47"/>
      <c r="J5" s="47"/>
      <c r="K5" s="47"/>
    </row>
    <row r="6" spans="1:11" x14ac:dyDescent="0.25">
      <c r="A6" s="42"/>
      <c r="B6" s="45" t="s">
        <v>84</v>
      </c>
      <c r="C6" s="45" t="s">
        <v>1</v>
      </c>
      <c r="D6" s="45" t="s">
        <v>84</v>
      </c>
      <c r="E6" s="45" t="s">
        <v>1</v>
      </c>
      <c r="F6" s="45" t="s">
        <v>84</v>
      </c>
      <c r="G6" s="45" t="s">
        <v>1</v>
      </c>
      <c r="H6" s="45" t="s">
        <v>84</v>
      </c>
      <c r="I6" s="45" t="s">
        <v>1</v>
      </c>
      <c r="J6" s="45" t="s">
        <v>84</v>
      </c>
      <c r="K6" s="45" t="s">
        <v>1</v>
      </c>
    </row>
    <row r="7" spans="1:11" x14ac:dyDescent="0.25">
      <c r="A7" s="42" t="s">
        <v>81</v>
      </c>
      <c r="B7" s="46" t="str">
        <f t="shared" ref="B7:K7" si="0">Report_Month</f>
        <v>Jan 16</v>
      </c>
      <c r="C7" s="46" t="str">
        <f t="shared" si="0"/>
        <v>Jan 16</v>
      </c>
      <c r="D7" s="46" t="str">
        <f t="shared" si="0"/>
        <v>Jan 16</v>
      </c>
      <c r="E7" s="46" t="str">
        <f t="shared" si="0"/>
        <v>Jan 16</v>
      </c>
      <c r="F7" s="46" t="str">
        <f t="shared" si="0"/>
        <v>Jan 16</v>
      </c>
      <c r="G7" s="46" t="str">
        <f t="shared" si="0"/>
        <v>Jan 16</v>
      </c>
      <c r="H7" s="46" t="str">
        <f t="shared" si="0"/>
        <v>Jan 16</v>
      </c>
      <c r="I7" s="46" t="str">
        <f t="shared" si="0"/>
        <v>Jan 16</v>
      </c>
      <c r="J7" s="46" t="str">
        <f t="shared" si="0"/>
        <v>Jan 16</v>
      </c>
      <c r="K7" s="46" t="str">
        <f t="shared" si="0"/>
        <v>Jan 16</v>
      </c>
    </row>
    <row r="8" spans="1:11" x14ac:dyDescent="0.25">
      <c r="A8" s="143" t="s">
        <v>430</v>
      </c>
      <c r="B8" s="47" t="str">
        <f>"PLTD-"&amp;B6&amp;"-"&amp;UPPER(TEXT(B7,"mmm-yy"))</f>
        <v>PLTD-MTD-JAN-16</v>
      </c>
      <c r="C8" s="47" t="str">
        <f>"PLTD-"&amp;C6&amp;"-"&amp;UPPER(TEXT(C7,"mmm-yy"))</f>
        <v>PLTD-YTD-JAN-16</v>
      </c>
      <c r="D8" s="47" t="str">
        <f>"PLTD-"&amp;D6&amp;"-"&amp;UPPER(TEXT(D7,"mmm-yy"))</f>
        <v>PLTD-MTD-JAN-16</v>
      </c>
      <c r="E8" s="47" t="str">
        <f>"PLTD-"&amp;E6&amp;"-"&amp;UPPER(TEXT(E7,"mmm-yy"))</f>
        <v>PLTD-YTD-JAN-16</v>
      </c>
      <c r="F8" s="47"/>
      <c r="G8" s="47"/>
      <c r="H8" s="47" t="str">
        <f>"PLTD-"&amp;H6&amp;"-"&amp;UPPER(TEXT(H7,"mmm-yy"))</f>
        <v>PLTD-MTD-JAN-16</v>
      </c>
      <c r="I8" s="47" t="str">
        <f>"PLTD-"&amp;I6&amp;"-"&amp;UPPER(TEXT(I7,"mmm-yy"))</f>
        <v>PLTD-YTD-JAN-16</v>
      </c>
      <c r="J8" s="47" t="str">
        <f>"PLTD-"&amp;J6&amp;"-"&amp;UPPER(TEXT(J7,"mmm-yy"))</f>
        <v>PLTD-MTD-JAN-16</v>
      </c>
      <c r="K8" s="47" t="str">
        <f>"PLTD-"&amp;K6&amp;"-"&amp;UPPER(TEXT(K7,"mmm-yy"))</f>
        <v>PLTD-YTD-JAN-16</v>
      </c>
    </row>
    <row r="9" spans="1:11" x14ac:dyDescent="0.25">
      <c r="A9" s="1">
        <f>MTD!K8</f>
        <v>4000</v>
      </c>
      <c r="B9" s="59">
        <f>'RPT MGT PnL'!C11</f>
        <v>160654.48000000001</v>
      </c>
      <c r="C9" s="59">
        <f>'RPT MGT PnL'!F11</f>
        <v>1656832.85</v>
      </c>
      <c r="D9" s="59" t="e">
        <f t="shared" ref="D9:E28" si="1">VLOOKUP($A9,MTD,D$5,FALSE)</f>
        <v>#REF!</v>
      </c>
      <c r="E9" s="59" t="e">
        <f t="shared" si="1"/>
        <v>#REF!</v>
      </c>
      <c r="F9" s="59" t="e">
        <f>B9-D9</f>
        <v>#REF!</v>
      </c>
      <c r="G9" s="59" t="e">
        <f>C9-E9</f>
        <v>#REF!</v>
      </c>
      <c r="H9" s="59"/>
      <c r="I9" s="59"/>
      <c r="J9" s="59">
        <f>H9+B9</f>
        <v>160654.48000000001</v>
      </c>
      <c r="K9" s="59">
        <f>I9+C9</f>
        <v>1656832.85</v>
      </c>
    </row>
    <row r="10" spans="1:11" x14ac:dyDescent="0.25">
      <c r="A10" s="1">
        <f>MTD!K9</f>
        <v>4009</v>
      </c>
      <c r="B10" s="59">
        <f>'RPT MGT PnL'!C58</f>
        <v>3234.98</v>
      </c>
      <c r="C10" s="59">
        <f>'RPT MGT PnL'!F58</f>
        <v>37785.879999999997</v>
      </c>
      <c r="D10" s="59" t="e">
        <f t="shared" si="1"/>
        <v>#REF!</v>
      </c>
      <c r="E10" s="59" t="e">
        <f t="shared" si="1"/>
        <v>#REF!</v>
      </c>
      <c r="F10" s="59" t="e">
        <f t="shared" ref="F10:F47" si="2">B10-D10</f>
        <v>#REF!</v>
      </c>
      <c r="G10" s="59" t="e">
        <f t="shared" ref="G10:G47" si="3">C10-E10</f>
        <v>#REF!</v>
      </c>
      <c r="H10" s="59"/>
      <c r="I10" s="59"/>
      <c r="J10" s="59">
        <f t="shared" ref="J10:K47" si="4">H10+B10</f>
        <v>3234.98</v>
      </c>
      <c r="K10" s="59">
        <f t="shared" si="4"/>
        <v>37785.879999999997</v>
      </c>
    </row>
    <row r="11" spans="1:11" x14ac:dyDescent="0.25">
      <c r="A11" s="1">
        <f>MTD!K10</f>
        <v>4905</v>
      </c>
      <c r="B11" s="59">
        <f>'RPT MGT PnL'!C54</f>
        <v>3648.66</v>
      </c>
      <c r="C11" s="59">
        <f>'RPT MGT PnL'!F54</f>
        <v>39515.32</v>
      </c>
      <c r="D11" s="59" t="e">
        <f t="shared" si="1"/>
        <v>#REF!</v>
      </c>
      <c r="E11" s="59" t="e">
        <f t="shared" si="1"/>
        <v>#REF!</v>
      </c>
      <c r="F11" s="59" t="e">
        <f t="shared" si="2"/>
        <v>#REF!</v>
      </c>
      <c r="G11" s="59" t="e">
        <f t="shared" si="3"/>
        <v>#REF!</v>
      </c>
      <c r="H11" s="59"/>
      <c r="I11" s="59"/>
      <c r="J11" s="59">
        <f t="shared" si="4"/>
        <v>3648.66</v>
      </c>
      <c r="K11" s="59">
        <f t="shared" si="4"/>
        <v>39515.32</v>
      </c>
    </row>
    <row r="12" spans="1:11" x14ac:dyDescent="0.25">
      <c r="A12" s="1">
        <f>MTD!K11</f>
        <v>5000</v>
      </c>
      <c r="B12" s="59">
        <f>'RPT MGT PnL'!C13</f>
        <v>95480.28</v>
      </c>
      <c r="C12" s="59">
        <f>'RPT MGT PnL'!F13</f>
        <v>1015669.54</v>
      </c>
      <c r="D12" s="59" t="e">
        <f t="shared" si="1"/>
        <v>#REF!</v>
      </c>
      <c r="E12" s="59" t="e">
        <f t="shared" si="1"/>
        <v>#REF!</v>
      </c>
      <c r="F12" s="59" t="e">
        <f t="shared" si="2"/>
        <v>#REF!</v>
      </c>
      <c r="G12" s="59" t="e">
        <f t="shared" si="3"/>
        <v>#REF!</v>
      </c>
      <c r="H12" s="59"/>
      <c r="I12" s="59"/>
      <c r="J12" s="59">
        <f t="shared" si="4"/>
        <v>95480.28</v>
      </c>
      <c r="K12" s="59">
        <f t="shared" si="4"/>
        <v>1015669.54</v>
      </c>
    </row>
    <row r="13" spans="1:11" x14ac:dyDescent="0.25">
      <c r="A13" s="1">
        <f>MTD!K12</f>
        <v>5001</v>
      </c>
      <c r="B13" s="59">
        <f>'RPT MGT PnL'!C14</f>
        <v>0</v>
      </c>
      <c r="C13" s="59">
        <f>'RPT MGT PnL'!F14</f>
        <v>0</v>
      </c>
      <c r="D13" s="59" t="e">
        <f t="shared" si="1"/>
        <v>#REF!</v>
      </c>
      <c r="E13" s="59" t="e">
        <f t="shared" si="1"/>
        <v>#REF!</v>
      </c>
      <c r="F13" s="59" t="e">
        <f t="shared" si="2"/>
        <v>#REF!</v>
      </c>
      <c r="G13" s="59" t="e">
        <f t="shared" si="3"/>
        <v>#REF!</v>
      </c>
      <c r="H13" s="59"/>
      <c r="I13" s="59"/>
      <c r="J13" s="59">
        <f t="shared" si="4"/>
        <v>0</v>
      </c>
      <c r="K13" s="59">
        <f t="shared" si="4"/>
        <v>0</v>
      </c>
    </row>
    <row r="14" spans="1:11" x14ac:dyDescent="0.25">
      <c r="A14" s="1">
        <f>MTD!K13</f>
        <v>6100</v>
      </c>
      <c r="B14" s="59">
        <f>'RPT MGT PnL'!C55</f>
        <v>26.42</v>
      </c>
      <c r="C14" s="59">
        <f>'RPT MGT PnL'!F55</f>
        <v>15686.32</v>
      </c>
      <c r="D14" s="59" t="e">
        <f t="shared" si="1"/>
        <v>#REF!</v>
      </c>
      <c r="E14" s="59" t="e">
        <f t="shared" si="1"/>
        <v>#REF!</v>
      </c>
      <c r="F14" s="59" t="e">
        <f t="shared" si="2"/>
        <v>#REF!</v>
      </c>
      <c r="G14" s="59" t="e">
        <f t="shared" si="3"/>
        <v>#REF!</v>
      </c>
      <c r="H14" s="59"/>
      <c r="I14" s="59">
        <f>6663-C14</f>
        <v>-9023.32</v>
      </c>
      <c r="J14" s="59">
        <f t="shared" si="4"/>
        <v>26.42</v>
      </c>
      <c r="K14" s="59">
        <f t="shared" si="4"/>
        <v>6663</v>
      </c>
    </row>
    <row r="15" spans="1:11" x14ac:dyDescent="0.25">
      <c r="A15" s="1">
        <f>MTD!K14</f>
        <v>6200</v>
      </c>
      <c r="B15" s="59">
        <f>'RPT MGT PnL'!C56</f>
        <v>2888.23</v>
      </c>
      <c r="C15" s="59">
        <f>'RPT MGT PnL'!F56</f>
        <v>28912.41</v>
      </c>
      <c r="D15" s="59" t="e">
        <f t="shared" si="1"/>
        <v>#REF!</v>
      </c>
      <c r="E15" s="59" t="e">
        <f t="shared" si="1"/>
        <v>#REF!</v>
      </c>
      <c r="F15" s="59" t="e">
        <f t="shared" si="2"/>
        <v>#REF!</v>
      </c>
      <c r="G15" s="59" t="e">
        <f t="shared" si="3"/>
        <v>#REF!</v>
      </c>
      <c r="H15" s="59"/>
      <c r="I15" s="59"/>
      <c r="J15" s="59">
        <f t="shared" si="4"/>
        <v>2888.23</v>
      </c>
      <c r="K15" s="59">
        <f t="shared" si="4"/>
        <v>28912.41</v>
      </c>
    </row>
    <row r="16" spans="1:11" x14ac:dyDescent="0.25">
      <c r="A16" s="1">
        <f>MTD!K15</f>
        <v>6201</v>
      </c>
      <c r="B16" s="59">
        <f>'RPT MGT PnL'!C57</f>
        <v>51.58</v>
      </c>
      <c r="C16" s="59">
        <f>'RPT MGT PnL'!F57</f>
        <v>6265.43</v>
      </c>
      <c r="D16" s="59" t="e">
        <f t="shared" si="1"/>
        <v>#REF!</v>
      </c>
      <c r="E16" s="59" t="e">
        <f t="shared" si="1"/>
        <v>#REF!</v>
      </c>
      <c r="F16" s="59" t="e">
        <f t="shared" si="2"/>
        <v>#REF!</v>
      </c>
      <c r="G16" s="59" t="e">
        <f t="shared" si="3"/>
        <v>#REF!</v>
      </c>
      <c r="H16" s="59"/>
      <c r="I16" s="59"/>
      <c r="J16" s="59">
        <f t="shared" si="4"/>
        <v>51.58</v>
      </c>
      <c r="K16" s="59">
        <f t="shared" si="4"/>
        <v>6265.43</v>
      </c>
    </row>
    <row r="17" spans="1:11" x14ac:dyDescent="0.25">
      <c r="A17" s="1">
        <f>MTD!K16</f>
        <v>7000</v>
      </c>
      <c r="B17" s="59">
        <f>'RPT MGT PnL'!C17</f>
        <v>8958.73</v>
      </c>
      <c r="C17" s="59">
        <f>'RPT MGT PnL'!F17</f>
        <v>115083.07</v>
      </c>
      <c r="D17" s="59" t="e">
        <f t="shared" si="1"/>
        <v>#REF!</v>
      </c>
      <c r="E17" s="59" t="e">
        <f t="shared" si="1"/>
        <v>#REF!</v>
      </c>
      <c r="F17" s="59" t="e">
        <f t="shared" si="2"/>
        <v>#REF!</v>
      </c>
      <c r="G17" s="59" t="e">
        <f t="shared" si="3"/>
        <v>#REF!</v>
      </c>
      <c r="H17" s="59"/>
      <c r="I17" s="59"/>
      <c r="J17" s="59">
        <f t="shared" si="4"/>
        <v>8958.73</v>
      </c>
      <c r="K17" s="59">
        <f t="shared" si="4"/>
        <v>115083.07</v>
      </c>
    </row>
    <row r="18" spans="1:11" x14ac:dyDescent="0.25">
      <c r="A18" s="1">
        <f>MTD!K17</f>
        <v>7006</v>
      </c>
      <c r="B18" s="59">
        <f>'RPT MGT PnL'!C22</f>
        <v>0</v>
      </c>
      <c r="C18" s="59">
        <f>'RPT MGT PnL'!F22</f>
        <v>0</v>
      </c>
      <c r="D18" s="59" t="e">
        <f t="shared" si="1"/>
        <v>#REF!</v>
      </c>
      <c r="E18" s="59" t="e">
        <f t="shared" si="1"/>
        <v>#REF!</v>
      </c>
      <c r="F18" s="59" t="e">
        <f t="shared" si="2"/>
        <v>#REF!</v>
      </c>
      <c r="G18" s="59" t="e">
        <f t="shared" si="3"/>
        <v>#REF!</v>
      </c>
      <c r="H18" s="59"/>
      <c r="I18" s="59"/>
      <c r="J18" s="59">
        <f t="shared" si="4"/>
        <v>0</v>
      </c>
      <c r="K18" s="59">
        <f t="shared" si="4"/>
        <v>0</v>
      </c>
    </row>
    <row r="19" spans="1:11" x14ac:dyDescent="0.25">
      <c r="A19" s="1">
        <f>MTD!K18</f>
        <v>7020</v>
      </c>
      <c r="B19" s="59">
        <f>'RPT MGT PnL'!C31</f>
        <v>0</v>
      </c>
      <c r="C19" s="59">
        <f>'RPT MGT PnL'!F31</f>
        <v>0</v>
      </c>
      <c r="D19" s="59" t="e">
        <f t="shared" si="1"/>
        <v>#REF!</v>
      </c>
      <c r="E19" s="59" t="e">
        <f t="shared" si="1"/>
        <v>#REF!</v>
      </c>
      <c r="F19" s="59" t="e">
        <f t="shared" si="2"/>
        <v>#REF!</v>
      </c>
      <c r="G19" s="59" t="e">
        <f t="shared" si="3"/>
        <v>#REF!</v>
      </c>
      <c r="H19" s="59"/>
      <c r="I19" s="59"/>
      <c r="J19" s="59">
        <f t="shared" si="4"/>
        <v>0</v>
      </c>
      <c r="K19" s="59">
        <f t="shared" si="4"/>
        <v>0</v>
      </c>
    </row>
    <row r="20" spans="1:11" x14ac:dyDescent="0.25">
      <c r="A20" s="1">
        <f>MTD!K19</f>
        <v>7100</v>
      </c>
      <c r="B20" s="59">
        <f>'RPT MGT PnL'!C18</f>
        <v>750</v>
      </c>
      <c r="C20" s="59">
        <f>'RPT MGT PnL'!F18</f>
        <v>9000</v>
      </c>
      <c r="D20" s="59" t="e">
        <f t="shared" si="1"/>
        <v>#REF!</v>
      </c>
      <c r="E20" s="59" t="e">
        <f t="shared" si="1"/>
        <v>#REF!</v>
      </c>
      <c r="F20" s="59" t="e">
        <f t="shared" si="2"/>
        <v>#REF!</v>
      </c>
      <c r="G20" s="59" t="e">
        <f t="shared" si="3"/>
        <v>#REF!</v>
      </c>
      <c r="H20" s="59"/>
      <c r="I20" s="59"/>
      <c r="J20" s="59">
        <f t="shared" si="4"/>
        <v>750</v>
      </c>
      <c r="K20" s="59">
        <f t="shared" si="4"/>
        <v>9000</v>
      </c>
    </row>
    <row r="21" spans="1:11" x14ac:dyDescent="0.25">
      <c r="A21" s="1">
        <f>MTD!K20</f>
        <v>7102</v>
      </c>
      <c r="B21" s="59">
        <f>'RPT MGT PnL'!C20</f>
        <v>3213.45</v>
      </c>
      <c r="C21" s="59">
        <f>'RPT MGT PnL'!F20</f>
        <v>33148.980000000003</v>
      </c>
      <c r="D21" s="59" t="e">
        <f t="shared" si="1"/>
        <v>#REF!</v>
      </c>
      <c r="E21" s="59" t="e">
        <f t="shared" si="1"/>
        <v>#REF!</v>
      </c>
      <c r="F21" s="59" t="e">
        <f t="shared" si="2"/>
        <v>#REF!</v>
      </c>
      <c r="G21" s="59" t="e">
        <f t="shared" si="3"/>
        <v>#REF!</v>
      </c>
      <c r="H21" s="59"/>
      <c r="I21" s="59"/>
      <c r="J21" s="59">
        <f t="shared" si="4"/>
        <v>3213.45</v>
      </c>
      <c r="K21" s="59">
        <f t="shared" si="4"/>
        <v>33148.980000000003</v>
      </c>
    </row>
    <row r="22" spans="1:11" x14ac:dyDescent="0.25">
      <c r="A22" s="1">
        <f>MTD!K21</f>
        <v>7103</v>
      </c>
      <c r="B22" s="59">
        <f>'RPT MGT PnL'!C19</f>
        <v>0</v>
      </c>
      <c r="C22" s="59">
        <f>'RPT MGT PnL'!F19</f>
        <v>1038.4100000000001</v>
      </c>
      <c r="D22" s="59" t="e">
        <f t="shared" si="1"/>
        <v>#REF!</v>
      </c>
      <c r="E22" s="59" t="e">
        <f t="shared" si="1"/>
        <v>#REF!</v>
      </c>
      <c r="F22" s="59" t="e">
        <f t="shared" si="2"/>
        <v>#REF!</v>
      </c>
      <c r="G22" s="59" t="e">
        <f t="shared" si="3"/>
        <v>#REF!</v>
      </c>
      <c r="H22" s="59"/>
      <c r="I22" s="59"/>
      <c r="J22" s="59">
        <f t="shared" si="4"/>
        <v>0</v>
      </c>
      <c r="K22" s="59">
        <f t="shared" si="4"/>
        <v>1038.4100000000001</v>
      </c>
    </row>
    <row r="23" spans="1:11" x14ac:dyDescent="0.25">
      <c r="A23" s="1">
        <f>MTD!K22</f>
        <v>7105</v>
      </c>
      <c r="B23" s="59">
        <f>'RPT MGT PnL'!C21</f>
        <v>1093.3699999999999</v>
      </c>
      <c r="C23" s="59">
        <f>'RPT MGT PnL'!F21</f>
        <v>11237.29</v>
      </c>
      <c r="D23" s="59" t="e">
        <f t="shared" si="1"/>
        <v>#REF!</v>
      </c>
      <c r="E23" s="59" t="e">
        <f t="shared" si="1"/>
        <v>#REF!</v>
      </c>
      <c r="F23" s="59" t="e">
        <f t="shared" si="2"/>
        <v>#REF!</v>
      </c>
      <c r="G23" s="59" t="e">
        <f t="shared" si="3"/>
        <v>#REF!</v>
      </c>
      <c r="H23" s="59"/>
      <c r="I23" s="59"/>
      <c r="J23" s="59">
        <f t="shared" si="4"/>
        <v>1093.3699999999999</v>
      </c>
      <c r="K23" s="59">
        <f t="shared" si="4"/>
        <v>11237.29</v>
      </c>
    </row>
    <row r="24" spans="1:11" x14ac:dyDescent="0.25">
      <c r="A24" s="1">
        <f>MTD!K23</f>
        <v>7200</v>
      </c>
      <c r="B24" s="59">
        <f>'RPT MGT PnL'!C25</f>
        <v>0</v>
      </c>
      <c r="C24" s="59">
        <f>'RPT MGT PnL'!F25</f>
        <v>105</v>
      </c>
      <c r="D24" s="59" t="e">
        <f t="shared" si="1"/>
        <v>#REF!</v>
      </c>
      <c r="E24" s="59" t="e">
        <f t="shared" si="1"/>
        <v>#REF!</v>
      </c>
      <c r="F24" s="59" t="e">
        <f t="shared" si="2"/>
        <v>#REF!</v>
      </c>
      <c r="G24" s="59" t="e">
        <f t="shared" si="3"/>
        <v>#REF!</v>
      </c>
      <c r="H24" s="59"/>
      <c r="I24" s="59"/>
      <c r="J24" s="59">
        <f t="shared" si="4"/>
        <v>0</v>
      </c>
      <c r="K24" s="59">
        <f t="shared" si="4"/>
        <v>105</v>
      </c>
    </row>
    <row r="25" spans="1:11" x14ac:dyDescent="0.25">
      <c r="A25" s="1">
        <f>MTD!K24</f>
        <v>7202</v>
      </c>
      <c r="B25" s="59">
        <f>'RPT MGT PnL'!C26</f>
        <v>920</v>
      </c>
      <c r="C25" s="59">
        <f>'RPT MGT PnL'!F26</f>
        <v>11040</v>
      </c>
      <c r="D25" s="59" t="e">
        <f t="shared" si="1"/>
        <v>#REF!</v>
      </c>
      <c r="E25" s="59" t="e">
        <f t="shared" si="1"/>
        <v>#REF!</v>
      </c>
      <c r="F25" s="59" t="e">
        <f t="shared" si="2"/>
        <v>#REF!</v>
      </c>
      <c r="G25" s="59" t="e">
        <f t="shared" si="3"/>
        <v>#REF!</v>
      </c>
      <c r="H25" s="59"/>
      <c r="I25" s="59"/>
      <c r="J25" s="59">
        <f t="shared" si="4"/>
        <v>920</v>
      </c>
      <c r="K25" s="59">
        <f t="shared" si="4"/>
        <v>11040</v>
      </c>
    </row>
    <row r="26" spans="1:11" x14ac:dyDescent="0.25">
      <c r="A26" s="1">
        <f>MTD!K25</f>
        <v>7204</v>
      </c>
      <c r="B26" s="59">
        <f>'RPT MGT PnL'!C27</f>
        <v>7500</v>
      </c>
      <c r="C26" s="59">
        <f>'RPT MGT PnL'!F27</f>
        <v>91011.15</v>
      </c>
      <c r="D26" s="59" t="e">
        <f t="shared" si="1"/>
        <v>#REF!</v>
      </c>
      <c r="E26" s="59" t="e">
        <f t="shared" si="1"/>
        <v>#REF!</v>
      </c>
      <c r="F26" s="59" t="e">
        <f t="shared" si="2"/>
        <v>#REF!</v>
      </c>
      <c r="G26" s="59" t="e">
        <f t="shared" si="3"/>
        <v>#REF!</v>
      </c>
      <c r="H26" s="59"/>
      <c r="I26" s="59"/>
      <c r="J26" s="59">
        <f t="shared" si="4"/>
        <v>7500</v>
      </c>
      <c r="K26" s="59">
        <f t="shared" si="4"/>
        <v>91011.15</v>
      </c>
    </row>
    <row r="27" spans="1:11" x14ac:dyDescent="0.25">
      <c r="A27" s="1">
        <f>MTD!K26</f>
        <v>7206</v>
      </c>
      <c r="B27" s="59">
        <f>'RPT MGT PnL'!C28</f>
        <v>1329.21</v>
      </c>
      <c r="C27" s="59">
        <f>'RPT MGT PnL'!F28</f>
        <v>17640.16</v>
      </c>
      <c r="D27" s="59" t="e">
        <f t="shared" si="1"/>
        <v>#REF!</v>
      </c>
      <c r="E27" s="59" t="e">
        <f t="shared" si="1"/>
        <v>#REF!</v>
      </c>
      <c r="F27" s="59" t="e">
        <f t="shared" si="2"/>
        <v>#REF!</v>
      </c>
      <c r="G27" s="59" t="e">
        <f t="shared" si="3"/>
        <v>#REF!</v>
      </c>
      <c r="H27" s="59"/>
      <c r="I27" s="59"/>
      <c r="J27" s="59">
        <f t="shared" si="4"/>
        <v>1329.21</v>
      </c>
      <c r="K27" s="59">
        <f t="shared" si="4"/>
        <v>17640.16</v>
      </c>
    </row>
    <row r="28" spans="1:11" x14ac:dyDescent="0.25">
      <c r="A28" s="1">
        <f>MTD!K27</f>
        <v>7906</v>
      </c>
      <c r="B28" s="59">
        <f>'RPT MGT PnL'!C36</f>
        <v>0</v>
      </c>
      <c r="C28" s="59">
        <f>'RPT MGT PnL'!F36</f>
        <v>0</v>
      </c>
      <c r="D28" s="59" t="e">
        <f t="shared" si="1"/>
        <v>#REF!</v>
      </c>
      <c r="E28" s="59" t="e">
        <f t="shared" si="1"/>
        <v>#REF!</v>
      </c>
      <c r="F28" s="59" t="e">
        <f t="shared" si="2"/>
        <v>#REF!</v>
      </c>
      <c r="G28" s="59" t="e">
        <f t="shared" si="3"/>
        <v>#REF!</v>
      </c>
      <c r="H28" s="59"/>
      <c r="I28" s="59"/>
      <c r="J28" s="59">
        <f t="shared" si="4"/>
        <v>0</v>
      </c>
      <c r="K28" s="59">
        <f t="shared" si="4"/>
        <v>0</v>
      </c>
    </row>
    <row r="29" spans="1:11" x14ac:dyDescent="0.25">
      <c r="A29" s="1">
        <f>MTD!K28</f>
        <v>8100</v>
      </c>
      <c r="B29" s="59">
        <f>'RPT MGT PnL'!C32</f>
        <v>0</v>
      </c>
      <c r="C29" s="59">
        <f>'RPT MGT PnL'!F32</f>
        <v>1.21</v>
      </c>
      <c r="D29" s="59" t="e">
        <f t="shared" ref="D29:E47" si="5">VLOOKUP($A29,MTD,D$5,FALSE)</f>
        <v>#REF!</v>
      </c>
      <c r="E29" s="59" t="e">
        <f t="shared" si="5"/>
        <v>#REF!</v>
      </c>
      <c r="F29" s="59" t="e">
        <f t="shared" si="2"/>
        <v>#REF!</v>
      </c>
      <c r="G29" s="59" t="e">
        <f t="shared" si="3"/>
        <v>#REF!</v>
      </c>
      <c r="H29" s="59"/>
      <c r="I29" s="59"/>
      <c r="J29" s="59">
        <f t="shared" si="4"/>
        <v>0</v>
      </c>
      <c r="K29" s="59">
        <f t="shared" si="4"/>
        <v>1.21</v>
      </c>
    </row>
    <row r="30" spans="1:11" x14ac:dyDescent="0.25">
      <c r="A30" s="1">
        <f>MTD!K29</f>
        <v>8200</v>
      </c>
      <c r="B30" s="59">
        <f>'RPT MGT PnL'!C33</f>
        <v>300</v>
      </c>
      <c r="C30" s="59">
        <f>'RPT MGT PnL'!F33</f>
        <v>3600</v>
      </c>
      <c r="D30" s="59" t="e">
        <f t="shared" si="5"/>
        <v>#REF!</v>
      </c>
      <c r="E30" s="59" t="e">
        <f t="shared" si="5"/>
        <v>#REF!</v>
      </c>
      <c r="F30" s="59" t="e">
        <f t="shared" si="2"/>
        <v>#REF!</v>
      </c>
      <c r="G30" s="59" t="e">
        <f t="shared" si="3"/>
        <v>#REF!</v>
      </c>
      <c r="H30" s="59"/>
      <c r="I30" s="59"/>
      <c r="J30" s="59">
        <f t="shared" si="4"/>
        <v>300</v>
      </c>
      <c r="K30" s="59">
        <f t="shared" si="4"/>
        <v>3600</v>
      </c>
    </row>
    <row r="31" spans="1:11" x14ac:dyDescent="0.25">
      <c r="A31" s="1">
        <f>MTD!K30</f>
        <v>8201</v>
      </c>
      <c r="B31" s="59">
        <f>'RPT MGT PnL'!C41</f>
        <v>180</v>
      </c>
      <c r="C31" s="59">
        <f>'RPT MGT PnL'!F41</f>
        <v>1303.5</v>
      </c>
      <c r="D31" s="59" t="e">
        <f t="shared" si="5"/>
        <v>#REF!</v>
      </c>
      <c r="E31" s="59" t="e">
        <f t="shared" si="5"/>
        <v>#REF!</v>
      </c>
      <c r="F31" s="59" t="e">
        <f t="shared" si="2"/>
        <v>#REF!</v>
      </c>
      <c r="G31" s="59" t="e">
        <f t="shared" si="3"/>
        <v>#REF!</v>
      </c>
      <c r="H31" s="59"/>
      <c r="I31" s="59"/>
      <c r="J31" s="59">
        <f t="shared" si="4"/>
        <v>180</v>
      </c>
      <c r="K31" s="59">
        <f t="shared" si="4"/>
        <v>1303.5</v>
      </c>
    </row>
    <row r="32" spans="1:11" x14ac:dyDescent="0.25">
      <c r="A32" s="1">
        <f>MTD!K31</f>
        <v>8204</v>
      </c>
      <c r="B32" s="59">
        <f>'RPT MGT PnL'!C34</f>
        <v>128.41</v>
      </c>
      <c r="C32" s="59">
        <f>'RPT MGT PnL'!F34</f>
        <v>1841.7</v>
      </c>
      <c r="D32" s="59" t="e">
        <f t="shared" si="5"/>
        <v>#REF!</v>
      </c>
      <c r="E32" s="59" t="e">
        <f t="shared" si="5"/>
        <v>#REF!</v>
      </c>
      <c r="F32" s="59" t="e">
        <f t="shared" si="2"/>
        <v>#REF!</v>
      </c>
      <c r="G32" s="59" t="e">
        <f t="shared" si="3"/>
        <v>#REF!</v>
      </c>
      <c r="H32" s="59"/>
      <c r="I32" s="59"/>
      <c r="J32" s="59">
        <f t="shared" si="4"/>
        <v>128.41</v>
      </c>
      <c r="K32" s="59">
        <f t="shared" si="4"/>
        <v>1841.7</v>
      </c>
    </row>
    <row r="33" spans="1:11" x14ac:dyDescent="0.25">
      <c r="A33" s="1">
        <f>MTD!K32</f>
        <v>8300</v>
      </c>
      <c r="B33" s="59">
        <f>'RPT MGT PnL'!C35</f>
        <v>250</v>
      </c>
      <c r="C33" s="59">
        <f>'RPT MGT PnL'!D35</f>
        <v>314.2</v>
      </c>
      <c r="D33" s="59" t="e">
        <f t="shared" si="5"/>
        <v>#REF!</v>
      </c>
      <c r="E33" s="59" t="e">
        <f t="shared" si="5"/>
        <v>#REF!</v>
      </c>
      <c r="F33" s="59" t="e">
        <f t="shared" si="2"/>
        <v>#REF!</v>
      </c>
      <c r="G33" s="59" t="e">
        <f t="shared" si="3"/>
        <v>#REF!</v>
      </c>
      <c r="H33" s="59"/>
      <c r="I33" s="59">
        <f>2020-C33</f>
        <v>1705.8</v>
      </c>
      <c r="J33" s="59">
        <f t="shared" si="4"/>
        <v>250</v>
      </c>
      <c r="K33" s="59">
        <f t="shared" si="4"/>
        <v>2020</v>
      </c>
    </row>
    <row r="34" spans="1:11" x14ac:dyDescent="0.25">
      <c r="A34" s="1">
        <f>MTD!K33</f>
        <v>8310</v>
      </c>
      <c r="B34" s="59">
        <f>'RPT MGT PnL'!C37</f>
        <v>0</v>
      </c>
      <c r="C34" s="59">
        <f>'RPT MGT PnL'!F37</f>
        <v>0</v>
      </c>
      <c r="D34" s="59" t="e">
        <f t="shared" si="5"/>
        <v>#REF!</v>
      </c>
      <c r="E34" s="59" t="e">
        <f t="shared" si="5"/>
        <v>#REF!</v>
      </c>
      <c r="F34" s="59" t="e">
        <f t="shared" si="2"/>
        <v>#REF!</v>
      </c>
      <c r="G34" s="59" t="e">
        <f t="shared" si="3"/>
        <v>#REF!</v>
      </c>
      <c r="H34" s="59"/>
      <c r="I34" s="59"/>
      <c r="J34" s="59">
        <f t="shared" si="4"/>
        <v>0</v>
      </c>
      <c r="K34" s="59">
        <f t="shared" si="4"/>
        <v>0</v>
      </c>
    </row>
    <row r="35" spans="1:11" x14ac:dyDescent="0.25">
      <c r="A35" s="1">
        <f>MTD!K34</f>
        <v>8400</v>
      </c>
      <c r="B35" s="59">
        <f>'RPT MGT PnL'!C38</f>
        <v>125</v>
      </c>
      <c r="C35" s="59">
        <f>'RPT MGT PnL'!F38</f>
        <v>1500</v>
      </c>
      <c r="D35" s="59" t="e">
        <f t="shared" si="5"/>
        <v>#REF!</v>
      </c>
      <c r="E35" s="59" t="e">
        <f t="shared" si="5"/>
        <v>#REF!</v>
      </c>
      <c r="F35" s="59" t="e">
        <f t="shared" si="2"/>
        <v>#REF!</v>
      </c>
      <c r="G35" s="59" t="e">
        <f t="shared" si="3"/>
        <v>#REF!</v>
      </c>
      <c r="H35" s="59"/>
      <c r="I35" s="59"/>
      <c r="J35" s="59">
        <f t="shared" si="4"/>
        <v>125</v>
      </c>
      <c r="K35" s="59">
        <f t="shared" si="4"/>
        <v>1500</v>
      </c>
    </row>
    <row r="36" spans="1:11" x14ac:dyDescent="0.25">
      <c r="A36" s="1">
        <f>MTD!K35</f>
        <v>8402</v>
      </c>
      <c r="B36" s="59">
        <f>'RPT MGT PnL'!C39</f>
        <v>424.26</v>
      </c>
      <c r="C36" s="59">
        <f>'RPT MGT PnL'!F39</f>
        <v>5687.25</v>
      </c>
      <c r="D36" s="59" t="e">
        <f t="shared" si="5"/>
        <v>#REF!</v>
      </c>
      <c r="E36" s="59" t="e">
        <f t="shared" si="5"/>
        <v>#REF!</v>
      </c>
      <c r="F36" s="59" t="e">
        <f t="shared" si="2"/>
        <v>#REF!</v>
      </c>
      <c r="G36" s="59" t="e">
        <f t="shared" si="3"/>
        <v>#REF!</v>
      </c>
      <c r="H36" s="59"/>
      <c r="I36" s="59"/>
      <c r="J36" s="59">
        <f t="shared" si="4"/>
        <v>424.26</v>
      </c>
      <c r="K36" s="59">
        <f t="shared" si="4"/>
        <v>5687.25</v>
      </c>
    </row>
    <row r="37" spans="1:11" x14ac:dyDescent="0.25">
      <c r="A37" s="1">
        <f>MTD!K36</f>
        <v>8405</v>
      </c>
      <c r="B37" s="59">
        <f>'RPT MGT PnL'!C40</f>
        <v>1227.44</v>
      </c>
      <c r="C37" s="59">
        <f>'RPT MGT PnL'!F40</f>
        <v>11470.46</v>
      </c>
      <c r="D37" s="59" t="e">
        <f t="shared" si="5"/>
        <v>#REF!</v>
      </c>
      <c r="E37" s="59" t="e">
        <f t="shared" si="5"/>
        <v>#REF!</v>
      </c>
      <c r="F37" s="59" t="e">
        <f t="shared" si="2"/>
        <v>#REF!</v>
      </c>
      <c r="G37" s="59" t="e">
        <f t="shared" si="3"/>
        <v>#REF!</v>
      </c>
      <c r="H37" s="59"/>
      <c r="I37" s="59"/>
      <c r="J37" s="59">
        <f t="shared" si="4"/>
        <v>1227.44</v>
      </c>
      <c r="K37" s="59">
        <f t="shared" si="4"/>
        <v>11470.46</v>
      </c>
    </row>
    <row r="38" spans="1:11" x14ac:dyDescent="0.25">
      <c r="A38" s="1">
        <f>MTD!K37</f>
        <v>8408</v>
      </c>
      <c r="B38" s="59">
        <f>'RPT MGT PnL'!C43</f>
        <v>79.099999999999994</v>
      </c>
      <c r="C38" s="59">
        <f>'RPT MGT PnL'!F43</f>
        <v>973.54</v>
      </c>
      <c r="D38" s="59" t="e">
        <f t="shared" si="5"/>
        <v>#REF!</v>
      </c>
      <c r="E38" s="59" t="e">
        <f t="shared" si="5"/>
        <v>#REF!</v>
      </c>
      <c r="F38" s="59" t="e">
        <f t="shared" si="2"/>
        <v>#REF!</v>
      </c>
      <c r="G38" s="59" t="e">
        <f t="shared" si="3"/>
        <v>#REF!</v>
      </c>
      <c r="H38" s="59"/>
      <c r="I38" s="59"/>
      <c r="J38" s="59">
        <f t="shared" si="4"/>
        <v>79.099999999999994</v>
      </c>
      <c r="K38" s="59">
        <f t="shared" si="4"/>
        <v>973.54</v>
      </c>
    </row>
    <row r="39" spans="1:11" x14ac:dyDescent="0.25">
      <c r="A39" s="1">
        <f>MTD!K38</f>
        <v>8410</v>
      </c>
      <c r="B39" s="59">
        <f>'RPT MGT PnL'!C44</f>
        <v>2020</v>
      </c>
      <c r="C39" s="59">
        <f>'RPT MGT PnL'!F44</f>
        <v>24240</v>
      </c>
      <c r="D39" s="59" t="e">
        <f t="shared" si="5"/>
        <v>#REF!</v>
      </c>
      <c r="E39" s="59" t="e">
        <f t="shared" si="5"/>
        <v>#REF!</v>
      </c>
      <c r="F39" s="59" t="e">
        <f t="shared" si="2"/>
        <v>#REF!</v>
      </c>
      <c r="G39" s="59" t="e">
        <f t="shared" si="3"/>
        <v>#REF!</v>
      </c>
      <c r="H39" s="59"/>
      <c r="I39" s="59"/>
      <c r="J39" s="59">
        <f t="shared" si="4"/>
        <v>2020</v>
      </c>
      <c r="K39" s="59">
        <f t="shared" si="4"/>
        <v>24240</v>
      </c>
    </row>
    <row r="40" spans="1:11" x14ac:dyDescent="0.25">
      <c r="A40" s="1">
        <f>MTD!K39</f>
        <v>8414</v>
      </c>
      <c r="B40" s="59">
        <f>'RPT MGT PnL'!C45</f>
        <v>441.56</v>
      </c>
      <c r="C40" s="59">
        <f>'RPT MGT PnL'!F45</f>
        <v>1988.96</v>
      </c>
      <c r="D40" s="59" t="e">
        <f t="shared" si="5"/>
        <v>#REF!</v>
      </c>
      <c r="E40" s="59" t="e">
        <f t="shared" si="5"/>
        <v>#REF!</v>
      </c>
      <c r="F40" s="59" t="e">
        <f t="shared" si="2"/>
        <v>#REF!</v>
      </c>
      <c r="G40" s="59" t="e">
        <f t="shared" si="3"/>
        <v>#REF!</v>
      </c>
      <c r="H40" s="59"/>
      <c r="I40" s="59">
        <v>3000</v>
      </c>
      <c r="J40" s="59">
        <f t="shared" si="4"/>
        <v>441.56</v>
      </c>
      <c r="K40" s="59">
        <f t="shared" si="4"/>
        <v>4988.96</v>
      </c>
    </row>
    <row r="41" spans="1:11" x14ac:dyDescent="0.25">
      <c r="A41" s="1">
        <f>MTD!K40</f>
        <v>8420</v>
      </c>
      <c r="B41" s="59">
        <f>'RPT MGT PnL'!C46</f>
        <v>12081.69</v>
      </c>
      <c r="C41" s="59">
        <f>'RPT MGT PnL'!F46</f>
        <v>147627.26</v>
      </c>
      <c r="D41" s="59" t="e">
        <f t="shared" si="5"/>
        <v>#REF!</v>
      </c>
      <c r="E41" s="59" t="e">
        <f t="shared" si="5"/>
        <v>#REF!</v>
      </c>
      <c r="F41" s="59" t="e">
        <f t="shared" si="2"/>
        <v>#REF!</v>
      </c>
      <c r="G41" s="59" t="e">
        <f t="shared" si="3"/>
        <v>#REF!</v>
      </c>
      <c r="H41" s="59"/>
      <c r="I41" s="59"/>
      <c r="J41" s="59">
        <f t="shared" si="4"/>
        <v>12081.69</v>
      </c>
      <c r="K41" s="59">
        <f t="shared" si="4"/>
        <v>147627.26</v>
      </c>
    </row>
    <row r="42" spans="1:11" x14ac:dyDescent="0.25">
      <c r="A42" s="1">
        <f>MTD!K41</f>
        <v>8424</v>
      </c>
      <c r="B42" s="59">
        <f>'RPT MGT PnL'!C47</f>
        <v>0</v>
      </c>
      <c r="C42" s="59">
        <f>'RPT MGT PnL'!F47</f>
        <v>2769.57</v>
      </c>
      <c r="D42" s="59" t="e">
        <f t="shared" si="5"/>
        <v>#REF!</v>
      </c>
      <c r="E42" s="59" t="e">
        <f t="shared" si="5"/>
        <v>#REF!</v>
      </c>
      <c r="F42" s="59" t="e">
        <f t="shared" si="2"/>
        <v>#REF!</v>
      </c>
      <c r="G42" s="59" t="e">
        <f t="shared" si="3"/>
        <v>#REF!</v>
      </c>
      <c r="H42" s="59"/>
      <c r="I42" s="59"/>
      <c r="J42" s="59">
        <f t="shared" si="4"/>
        <v>0</v>
      </c>
      <c r="K42" s="59">
        <f t="shared" si="4"/>
        <v>2769.57</v>
      </c>
    </row>
    <row r="43" spans="1:11" x14ac:dyDescent="0.25">
      <c r="A43" s="1">
        <f>MTD!K42</f>
        <v>8426</v>
      </c>
      <c r="B43" s="59">
        <f>'RPT MGT PnL'!C48</f>
        <v>700</v>
      </c>
      <c r="C43" s="59">
        <f>'RPT MGT PnL'!F48</f>
        <v>8666.5400000000009</v>
      </c>
      <c r="D43" s="59" t="e">
        <f t="shared" si="5"/>
        <v>#REF!</v>
      </c>
      <c r="E43" s="59" t="e">
        <f t="shared" si="5"/>
        <v>#REF!</v>
      </c>
      <c r="F43" s="59" t="e">
        <f t="shared" si="2"/>
        <v>#REF!</v>
      </c>
      <c r="G43" s="59" t="e">
        <f t="shared" si="3"/>
        <v>#REF!</v>
      </c>
      <c r="H43" s="59"/>
      <c r="I43" s="59"/>
      <c r="J43" s="59">
        <f t="shared" si="4"/>
        <v>700</v>
      </c>
      <c r="K43" s="59">
        <f t="shared" si="4"/>
        <v>8666.5400000000009</v>
      </c>
    </row>
    <row r="44" spans="1:11" x14ac:dyDescent="0.25">
      <c r="A44" s="1">
        <f>MTD!K43</f>
        <v>8430</v>
      </c>
      <c r="B44" s="59">
        <f>'RPT MGT PnL'!C49</f>
        <v>186.13</v>
      </c>
      <c r="C44" s="59">
        <f>'RPT MGT PnL'!F49</f>
        <v>7055.5</v>
      </c>
      <c r="D44" s="59" t="e">
        <f t="shared" si="5"/>
        <v>#REF!</v>
      </c>
      <c r="E44" s="59" t="e">
        <f t="shared" si="5"/>
        <v>#REF!</v>
      </c>
      <c r="F44" s="59" t="e">
        <f t="shared" si="2"/>
        <v>#REF!</v>
      </c>
      <c r="G44" s="59" t="e">
        <f t="shared" si="3"/>
        <v>#REF!</v>
      </c>
      <c r="H44" s="59"/>
      <c r="I44" s="59"/>
      <c r="J44" s="59">
        <f t="shared" si="4"/>
        <v>186.13</v>
      </c>
      <c r="K44" s="59">
        <f t="shared" si="4"/>
        <v>7055.5</v>
      </c>
    </row>
    <row r="45" spans="1:11" x14ac:dyDescent="0.25">
      <c r="A45" s="1">
        <f>MTD!K44</f>
        <v>8433</v>
      </c>
      <c r="B45" s="59">
        <f>'RPT MGT PnL'!C42</f>
        <v>150</v>
      </c>
      <c r="C45" s="59">
        <f>'RPT MGT PnL'!F42</f>
        <v>1385</v>
      </c>
      <c r="D45" s="59" t="e">
        <f t="shared" si="5"/>
        <v>#REF!</v>
      </c>
      <c r="E45" s="59" t="e">
        <f t="shared" si="5"/>
        <v>#REF!</v>
      </c>
      <c r="F45" s="59" t="e">
        <f t="shared" si="2"/>
        <v>#REF!</v>
      </c>
      <c r="G45" s="59" t="e">
        <f t="shared" si="3"/>
        <v>#REF!</v>
      </c>
      <c r="H45" s="59"/>
      <c r="I45" s="59"/>
      <c r="J45" s="59">
        <f t="shared" si="4"/>
        <v>150</v>
      </c>
      <c r="K45" s="59">
        <f t="shared" si="4"/>
        <v>1385</v>
      </c>
    </row>
    <row r="46" spans="1:11" x14ac:dyDescent="0.25">
      <c r="A46" s="1">
        <f>MTD!K45</f>
        <v>8435</v>
      </c>
      <c r="B46" s="59">
        <f>'RPT MGT PnL'!C50</f>
        <v>922.6</v>
      </c>
      <c r="C46" s="59">
        <f>'RPT MGT PnL'!F50</f>
        <v>2428.98</v>
      </c>
      <c r="D46" s="59" t="e">
        <f t="shared" si="5"/>
        <v>#REF!</v>
      </c>
      <c r="E46" s="59" t="e">
        <f t="shared" si="5"/>
        <v>#REF!</v>
      </c>
      <c r="F46" s="59" t="e">
        <f t="shared" si="2"/>
        <v>#REF!</v>
      </c>
      <c r="G46" s="59" t="e">
        <f t="shared" si="3"/>
        <v>#REF!</v>
      </c>
      <c r="H46" s="59"/>
      <c r="I46" s="59"/>
      <c r="J46" s="59">
        <f t="shared" si="4"/>
        <v>922.6</v>
      </c>
      <c r="K46" s="59">
        <f t="shared" si="4"/>
        <v>2428.98</v>
      </c>
    </row>
    <row r="47" spans="1:11" x14ac:dyDescent="0.25">
      <c r="A47" s="1">
        <f>MTD!K46</f>
        <v>8440</v>
      </c>
      <c r="B47" s="59">
        <f>'RPT MGT PnL'!C51</f>
        <v>510</v>
      </c>
      <c r="C47" s="59">
        <f>'RPT MGT PnL'!F51</f>
        <v>6728.89</v>
      </c>
      <c r="D47" s="59" t="e">
        <f t="shared" si="5"/>
        <v>#REF!</v>
      </c>
      <c r="E47" s="59" t="e">
        <f t="shared" si="5"/>
        <v>#REF!</v>
      </c>
      <c r="F47" s="59" t="e">
        <f t="shared" si="2"/>
        <v>#REF!</v>
      </c>
      <c r="G47" s="59" t="e">
        <f t="shared" si="3"/>
        <v>#REF!</v>
      </c>
      <c r="H47" s="59"/>
      <c r="I47" s="59"/>
      <c r="J47" s="59">
        <f t="shared" si="4"/>
        <v>510</v>
      </c>
      <c r="K47" s="59">
        <f t="shared" si="4"/>
        <v>6728.89</v>
      </c>
    </row>
    <row r="48" spans="1:11" x14ac:dyDescent="0.25">
      <c r="A48" s="1">
        <f>MTD!K47</f>
        <v>9999</v>
      </c>
      <c r="B48" s="59"/>
      <c r="C48" s="59"/>
      <c r="D48" s="59"/>
      <c r="E48" s="59" t="e">
        <f>VLOOKUP(B48,MTD,E$5,FALSE)</f>
        <v>#N/A</v>
      </c>
      <c r="F48" s="59">
        <f t="shared" ref="F48" si="6">B48-D48</f>
        <v>0</v>
      </c>
      <c r="G48" s="59" t="e">
        <f t="shared" ref="G48" si="7">C48-E48</f>
        <v>#N/A</v>
      </c>
      <c r="H48" s="59"/>
      <c r="I48" s="59"/>
      <c r="J48" s="59"/>
      <c r="K48" s="59"/>
    </row>
  </sheetData>
  <mergeCells count="5">
    <mergeCell ref="B4:C4"/>
    <mergeCell ref="D4:E4"/>
    <mergeCell ref="F4:G4"/>
    <mergeCell ref="H4:I4"/>
    <mergeCell ref="J4:K4"/>
  </mergeCells>
  <conditionalFormatting sqref="F9:G47">
    <cfRule type="cellIs" dxfId="33" priority="3" operator="notBetween">
      <formula>-0.005</formula>
      <formula>0.005</formula>
    </cfRule>
    <cfRule type="cellIs" dxfId="32" priority="4" operator="between">
      <formula>-0.005</formula>
      <formula>0.005</formula>
    </cfRule>
  </conditionalFormatting>
  <conditionalFormatting sqref="F48:G48">
    <cfRule type="cellIs" dxfId="31" priority="1" operator="notBetween">
      <formula>-0.005</formula>
      <formula>0.005</formula>
    </cfRule>
    <cfRule type="cellIs" dxfId="30" priority="2" operator="between">
      <formula>-0.005</formula>
      <formula>0.005</formula>
    </cfRule>
  </conditionalFormatting>
  <pageMargins left="0.7" right="0.7" top="0.75" bottom="0.75" header="0.3" footer="0.3"/>
  <pageSetup paperSize="9" scale="58" orientation="portrait" horizontalDpi="0" verticalDpi="0" r:id="rId1"/>
  <headerFooter>
    <oddHeader>&amp;RNov 14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0"/>
  <sheetViews>
    <sheetView tabSelected="1" topLeftCell="C4" workbookViewId="0">
      <selection activeCell="F24" sqref="F24"/>
    </sheetView>
  </sheetViews>
  <sheetFormatPr defaultRowHeight="15" x14ac:dyDescent="0.25"/>
  <cols>
    <col min="1" max="1" width="46.7109375" bestFit="1" customWidth="1"/>
    <col min="2" max="2" width="20.5703125" style="73" customWidth="1"/>
    <col min="4" max="5" width="10.7109375" customWidth="1"/>
    <col min="6" max="7" width="10.5703125" customWidth="1"/>
    <col min="8" max="9" width="9.140625" customWidth="1"/>
    <col min="10" max="10" width="10.7109375" customWidth="1"/>
    <col min="11" max="16" width="9.140625" customWidth="1"/>
  </cols>
  <sheetData>
    <row r="1" spans="1:24" ht="18.75" x14ac:dyDescent="0.3">
      <c r="C1" s="56" t="s">
        <v>136</v>
      </c>
    </row>
    <row r="2" spans="1:24" ht="18.75" x14ac:dyDescent="0.3">
      <c r="C2" s="56" t="s">
        <v>138</v>
      </c>
      <c r="Q2" s="103"/>
    </row>
    <row r="3" spans="1:24" x14ac:dyDescent="0.25">
      <c r="B3" s="73" t="s">
        <v>195</v>
      </c>
      <c r="C3" s="64">
        <v>1</v>
      </c>
      <c r="D3" s="64">
        <v>3</v>
      </c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64">
        <v>12</v>
      </c>
      <c r="N3" s="64">
        <v>13</v>
      </c>
      <c r="O3" s="64">
        <v>14</v>
      </c>
      <c r="P3" s="64">
        <v>15</v>
      </c>
      <c r="Q3" s="64">
        <v>16</v>
      </c>
      <c r="R3" s="64">
        <v>17</v>
      </c>
      <c r="S3" s="64">
        <v>18</v>
      </c>
      <c r="T3" s="64">
        <v>19</v>
      </c>
      <c r="U3" s="64">
        <v>20</v>
      </c>
      <c r="V3" s="64">
        <v>21</v>
      </c>
      <c r="W3" s="64">
        <v>22</v>
      </c>
    </row>
    <row r="4" spans="1:24" x14ac:dyDescent="0.25">
      <c r="C4" s="40" t="s">
        <v>81</v>
      </c>
      <c r="D4" s="46">
        <v>41548</v>
      </c>
      <c r="E4" s="46">
        <v>41883</v>
      </c>
      <c r="F4" s="46">
        <v>41852</v>
      </c>
      <c r="G4" s="46">
        <v>41821</v>
      </c>
      <c r="H4" s="46">
        <v>41791</v>
      </c>
      <c r="I4" s="46">
        <v>41760</v>
      </c>
      <c r="J4" s="46">
        <v>41579</v>
      </c>
      <c r="K4" s="46">
        <v>41640</v>
      </c>
      <c r="L4" s="46">
        <v>41609</v>
      </c>
      <c r="M4" s="46">
        <v>41671</v>
      </c>
      <c r="N4" s="46">
        <v>41699</v>
      </c>
      <c r="O4" s="46">
        <v>41730</v>
      </c>
      <c r="P4" s="46">
        <v>41518</v>
      </c>
      <c r="Q4" s="46">
        <v>41913</v>
      </c>
      <c r="R4" s="46">
        <v>41944</v>
      </c>
      <c r="S4" s="46" t="s">
        <v>439</v>
      </c>
      <c r="T4" s="46" t="s">
        <v>444</v>
      </c>
      <c r="U4" s="46" t="s">
        <v>448</v>
      </c>
      <c r="V4" s="46" t="s">
        <v>452</v>
      </c>
      <c r="W4" s="46" t="s">
        <v>456</v>
      </c>
      <c r="X4" s="46" t="s">
        <v>460</v>
      </c>
    </row>
    <row r="5" spans="1:24" s="73" customFormat="1" x14ac:dyDescent="0.25">
      <c r="C5" s="40">
        <v>0</v>
      </c>
      <c r="D5" s="46" t="str">
        <f t="shared" ref="D5:K5" si="0">"BS-"&amp;UPPER(TEXT(D4,"mmm-yy"))</f>
        <v>BS-OCT-13</v>
      </c>
      <c r="E5" s="46" t="str">
        <f t="shared" si="0"/>
        <v>BS-SEP-14</v>
      </c>
      <c r="F5" s="46" t="str">
        <f t="shared" si="0"/>
        <v>BS-AUG-14</v>
      </c>
      <c r="G5" s="46" t="str">
        <f t="shared" si="0"/>
        <v>BS-JUL-14</v>
      </c>
      <c r="H5" s="46" t="str">
        <f t="shared" si="0"/>
        <v>BS-JUN-14</v>
      </c>
      <c r="I5" s="46" t="str">
        <f t="shared" si="0"/>
        <v>BS-MAY-14</v>
      </c>
      <c r="J5" s="46" t="str">
        <f t="shared" si="0"/>
        <v>BS-NOV-13</v>
      </c>
      <c r="K5" s="46" t="str">
        <f t="shared" si="0"/>
        <v>BS-JAN-14</v>
      </c>
      <c r="L5" s="46" t="str">
        <f t="shared" ref="L5:O5" si="1">"BS-"&amp;UPPER(TEXT(L4,"mmm-yy"))</f>
        <v>BS-DEC-13</v>
      </c>
      <c r="M5" s="46" t="str">
        <f t="shared" si="1"/>
        <v>BS-FEB-14</v>
      </c>
      <c r="N5" s="46" t="str">
        <f t="shared" si="1"/>
        <v>BS-MAR-14</v>
      </c>
      <c r="O5" s="46" t="str">
        <f t="shared" si="1"/>
        <v>BS-APR-14</v>
      </c>
      <c r="P5" s="46" t="str">
        <f t="shared" ref="P5" si="2">"BS-"&amp;UPPER(TEXT(P4,"mmm-yy"))</f>
        <v>BS-SEP-13</v>
      </c>
      <c r="Q5" s="46" t="str">
        <f t="shared" ref="Q5:R5" si="3">"BS-"&amp;UPPER(TEXT(Q4,"mmm-yy"))</f>
        <v>BS-OCT-14</v>
      </c>
      <c r="R5" s="46" t="str">
        <f t="shared" si="3"/>
        <v>BS-NOV-14</v>
      </c>
      <c r="S5" s="46" t="s">
        <v>443</v>
      </c>
      <c r="T5" s="46" t="s">
        <v>447</v>
      </c>
      <c r="U5" s="46" t="s">
        <v>451</v>
      </c>
      <c r="V5" s="46" t="s">
        <v>455</v>
      </c>
      <c r="W5" s="46" t="s">
        <v>459</v>
      </c>
      <c r="X5" s="46" t="s">
        <v>463</v>
      </c>
    </row>
    <row r="6" spans="1:24" x14ac:dyDescent="0.25">
      <c r="A6" t="s">
        <v>133</v>
      </c>
      <c r="B6" s="62">
        <f>'RPT MGT BS'!D11</f>
        <v>10613.540000000005</v>
      </c>
      <c r="C6" s="49">
        <v>10</v>
      </c>
      <c r="D6" s="62">
        <v>10004.049999999999</v>
      </c>
      <c r="E6" s="62">
        <v>8001.2499999999991</v>
      </c>
      <c r="F6" s="62">
        <v>7491.6799999999994</v>
      </c>
      <c r="G6" s="62">
        <v>7491.6799999999994</v>
      </c>
      <c r="H6" s="62">
        <v>4979.42</v>
      </c>
      <c r="I6" s="62">
        <v>4979.42</v>
      </c>
      <c r="J6" s="62">
        <v>10004.049999999999</v>
      </c>
      <c r="K6" s="62">
        <v>3979.0499999999993</v>
      </c>
      <c r="L6" s="62">
        <v>10004.049999999999</v>
      </c>
      <c r="M6" s="62">
        <v>3979.0499999999993</v>
      </c>
      <c r="N6" s="62">
        <v>3979.0499999999993</v>
      </c>
      <c r="O6" s="62">
        <v>4979.42</v>
      </c>
      <c r="P6" s="62">
        <v>7504.0499999999993</v>
      </c>
      <c r="Q6" s="62">
        <v>13950</v>
      </c>
      <c r="R6" s="62">
        <v>13950</v>
      </c>
      <c r="S6" s="62">
        <v>13949.529999999999</v>
      </c>
      <c r="T6" s="145">
        <v>9926</v>
      </c>
      <c r="U6" s="145">
        <v>9926.0000000000036</v>
      </c>
      <c r="V6" s="145">
        <v>10613.540000000005</v>
      </c>
      <c r="W6" s="145">
        <v>10613.540000000005</v>
      </c>
      <c r="X6" s="145">
        <v>10613.540000000005</v>
      </c>
    </row>
    <row r="7" spans="1:24" x14ac:dyDescent="0.25">
      <c r="A7" t="s">
        <v>134</v>
      </c>
      <c r="B7" s="62">
        <f>'RPT MGT BS'!C14</f>
        <v>264446.98</v>
      </c>
      <c r="C7" s="49">
        <v>1001</v>
      </c>
      <c r="D7" s="62">
        <v>321789.16000000003</v>
      </c>
      <c r="E7" s="62">
        <v>359332.26000000007</v>
      </c>
      <c r="F7" s="62">
        <v>390214.05000000005</v>
      </c>
      <c r="G7" s="62">
        <v>387845.78</v>
      </c>
      <c r="H7" s="62">
        <v>248915.52000000002</v>
      </c>
      <c r="I7" s="62">
        <v>333630.71000000002</v>
      </c>
      <c r="J7" s="62">
        <v>294354.76</v>
      </c>
      <c r="K7" s="62">
        <v>274535.37</v>
      </c>
      <c r="L7" s="62">
        <v>243320.6</v>
      </c>
      <c r="M7" s="62">
        <v>226546.40000000002</v>
      </c>
      <c r="N7" s="62">
        <v>197077.68000000002</v>
      </c>
      <c r="O7" s="62">
        <v>343802.13</v>
      </c>
      <c r="P7" s="62">
        <v>351627.01</v>
      </c>
      <c r="Q7" s="62">
        <v>369936</v>
      </c>
      <c r="R7" s="62">
        <v>368597.4</v>
      </c>
      <c r="S7" s="62">
        <v>365206</v>
      </c>
      <c r="T7" s="145">
        <v>364793.12</v>
      </c>
      <c r="U7" s="145">
        <v>388261.25</v>
      </c>
      <c r="V7" s="145">
        <v>398458.54</v>
      </c>
      <c r="W7" s="145">
        <v>343848.89999999997</v>
      </c>
      <c r="X7" s="145">
        <v>235986.41999999998</v>
      </c>
    </row>
    <row r="8" spans="1:24" x14ac:dyDescent="0.25">
      <c r="B8" s="62">
        <f>'RPT MGT BS'!C15</f>
        <v>198455.58000000002</v>
      </c>
      <c r="C8" s="49">
        <v>1100</v>
      </c>
      <c r="D8" s="62">
        <v>304894.75</v>
      </c>
      <c r="E8" s="62">
        <v>341065.88</v>
      </c>
      <c r="F8" s="62">
        <v>286808.17</v>
      </c>
      <c r="G8" s="62">
        <v>316230.69</v>
      </c>
      <c r="H8" s="62">
        <v>262236.64</v>
      </c>
      <c r="I8" s="62">
        <v>170229.15</v>
      </c>
      <c r="J8" s="62">
        <v>324493.48</v>
      </c>
      <c r="K8" s="62">
        <v>473419.89</v>
      </c>
      <c r="L8" s="62">
        <v>293777.53999999998</v>
      </c>
      <c r="M8" s="62">
        <v>390097.1</v>
      </c>
      <c r="N8" s="62">
        <v>196504.38</v>
      </c>
      <c r="O8" s="62">
        <v>167520.95999999999</v>
      </c>
      <c r="P8" s="62">
        <v>306014.67</v>
      </c>
      <c r="Q8" s="62">
        <v>378584</v>
      </c>
      <c r="R8" s="62">
        <v>274964.40000000002</v>
      </c>
      <c r="S8" s="62">
        <v>330146.56000000006</v>
      </c>
      <c r="T8" s="145">
        <v>303456.80000000005</v>
      </c>
      <c r="U8" s="145">
        <v>364422.60000000003</v>
      </c>
      <c r="V8" s="145">
        <v>276507.87000000005</v>
      </c>
      <c r="W8" s="145">
        <v>207595.78000000003</v>
      </c>
      <c r="X8" s="145">
        <v>277026.42000000004</v>
      </c>
    </row>
    <row r="9" spans="1:24" x14ac:dyDescent="0.25">
      <c r="B9" s="62">
        <f>'RPT MGT BS'!C16</f>
        <v>0</v>
      </c>
      <c r="C9" s="49">
        <v>1102</v>
      </c>
      <c r="D9" s="62">
        <v>15338.25</v>
      </c>
      <c r="E9" s="62">
        <v>15338.25</v>
      </c>
      <c r="F9" s="62">
        <v>15338.25</v>
      </c>
      <c r="G9" s="62">
        <v>15338.25</v>
      </c>
      <c r="H9" s="62">
        <v>15338.25</v>
      </c>
      <c r="I9" s="62">
        <v>15338.25</v>
      </c>
      <c r="J9" s="62">
        <v>15338.25</v>
      </c>
      <c r="K9" s="62">
        <v>15338.25</v>
      </c>
      <c r="L9" s="62">
        <v>15338.25</v>
      </c>
      <c r="M9" s="62">
        <v>15338.25</v>
      </c>
      <c r="N9" s="62">
        <v>15338.25</v>
      </c>
      <c r="O9" s="62">
        <v>15338.25</v>
      </c>
      <c r="P9" s="62">
        <v>15338.25</v>
      </c>
      <c r="Q9" s="62">
        <v>0</v>
      </c>
      <c r="R9" s="62">
        <v>0</v>
      </c>
      <c r="S9" s="62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</row>
    <row r="10" spans="1:24" x14ac:dyDescent="0.25">
      <c r="B10" s="62"/>
      <c r="C10" s="49">
        <v>1103</v>
      </c>
      <c r="D10" s="62">
        <v>32354.65</v>
      </c>
      <c r="E10" s="62">
        <v>36398.83</v>
      </c>
      <c r="F10" s="62">
        <v>36236.83</v>
      </c>
      <c r="G10" s="62">
        <v>36044.43</v>
      </c>
      <c r="H10" s="62">
        <v>34959.06</v>
      </c>
      <c r="I10" s="62">
        <v>34959.06</v>
      </c>
      <c r="J10" s="62">
        <v>32592.16</v>
      </c>
      <c r="K10" s="62">
        <v>34229.360000000001</v>
      </c>
      <c r="L10" s="62">
        <v>34229.360000000001</v>
      </c>
      <c r="M10" s="62">
        <v>34517.760000000002</v>
      </c>
      <c r="N10" s="62">
        <v>34517.760000000002</v>
      </c>
      <c r="O10" s="62">
        <v>34517.760000000002</v>
      </c>
      <c r="P10" s="62">
        <v>32354.65</v>
      </c>
      <c r="Q10" s="62">
        <v>17866</v>
      </c>
      <c r="R10" s="62">
        <v>18133.400000000001</v>
      </c>
      <c r="S10" s="62">
        <v>-30366.58</v>
      </c>
      <c r="T10" s="145">
        <v>-30274.58</v>
      </c>
      <c r="U10" s="145">
        <v>-29805.739999999998</v>
      </c>
      <c r="V10" s="145">
        <v>-29617.339999999997</v>
      </c>
      <c r="W10" s="145">
        <v>26969.66</v>
      </c>
      <c r="X10" s="145">
        <v>31181.080000000005</v>
      </c>
    </row>
    <row r="11" spans="1:24" x14ac:dyDescent="0.25">
      <c r="B11" s="62"/>
      <c r="C11" s="49">
        <v>1115</v>
      </c>
      <c r="D11" s="62">
        <v>6627.5599999999995</v>
      </c>
      <c r="E11" s="62">
        <v>28539.960000000003</v>
      </c>
      <c r="F11" s="62">
        <v>28539.960000000003</v>
      </c>
      <c r="G11" s="62">
        <v>28539.960000000003</v>
      </c>
      <c r="H11" s="62">
        <v>28539.960000000003</v>
      </c>
      <c r="I11" s="62">
        <v>28354.960000000003</v>
      </c>
      <c r="J11" s="62">
        <v>6627.5599999999995</v>
      </c>
      <c r="K11" s="62">
        <v>28354.960000000003</v>
      </c>
      <c r="L11" s="62">
        <v>6627.5599999999995</v>
      </c>
      <c r="M11" s="62">
        <v>28354.960000000003</v>
      </c>
      <c r="N11" s="62">
        <v>28354.960000000003</v>
      </c>
      <c r="O11" s="62">
        <v>28354.960000000003</v>
      </c>
      <c r="P11" s="62">
        <v>6627.5599999999995</v>
      </c>
      <c r="Q11" s="62">
        <v>64950</v>
      </c>
      <c r="R11" s="62">
        <v>64950.400000000001</v>
      </c>
      <c r="S11" s="62">
        <v>64950.31</v>
      </c>
      <c r="T11" s="145">
        <v>65539.72</v>
      </c>
      <c r="U11" s="145">
        <v>65539.72</v>
      </c>
      <c r="V11" s="145">
        <v>66361.960000000006</v>
      </c>
      <c r="W11" s="145">
        <v>67841.16</v>
      </c>
      <c r="X11" s="145">
        <v>67841.16</v>
      </c>
    </row>
    <row r="12" spans="1:24" x14ac:dyDescent="0.25">
      <c r="B12" s="62"/>
      <c r="C12" s="49">
        <v>1200</v>
      </c>
      <c r="D12" s="62">
        <v>-455.73999999999995</v>
      </c>
      <c r="E12" s="62">
        <v>-41019.25</v>
      </c>
      <c r="F12" s="62">
        <v>-13302.18</v>
      </c>
      <c r="G12" s="62">
        <v>-12546.220000000001</v>
      </c>
      <c r="H12" s="62">
        <v>-11263.56</v>
      </c>
      <c r="I12" s="62">
        <v>15198.23</v>
      </c>
      <c r="J12" s="62">
        <v>42204.7</v>
      </c>
      <c r="K12" s="62">
        <v>11817.630000000001</v>
      </c>
      <c r="L12" s="62">
        <v>88143.790000000008</v>
      </c>
      <c r="M12" s="62">
        <v>50767.5</v>
      </c>
      <c r="N12" s="62">
        <v>25893.469999999998</v>
      </c>
      <c r="O12" s="62">
        <v>72020.94</v>
      </c>
      <c r="P12" s="62">
        <v>27234.739999999998</v>
      </c>
      <c r="Q12" s="62">
        <v>-60896</v>
      </c>
      <c r="R12" s="62">
        <v>9259.4</v>
      </c>
      <c r="S12" s="62">
        <v>18217</v>
      </c>
      <c r="T12" s="145">
        <v>62751.02</v>
      </c>
      <c r="U12" s="145">
        <v>56886.109999999993</v>
      </c>
      <c r="V12" s="145">
        <v>70900.22</v>
      </c>
      <c r="W12" s="145">
        <v>66063.179999999993</v>
      </c>
      <c r="X12" s="145">
        <v>87485.920000000013</v>
      </c>
    </row>
    <row r="13" spans="1:24" x14ac:dyDescent="0.25">
      <c r="B13" s="62"/>
      <c r="C13" s="49">
        <v>1202</v>
      </c>
      <c r="D13" s="62">
        <v>9573.91</v>
      </c>
      <c r="E13" s="62">
        <v>11330.39</v>
      </c>
      <c r="F13" s="62">
        <v>-17087.729999999996</v>
      </c>
      <c r="G13" s="62">
        <v>1043.4100000000001</v>
      </c>
      <c r="H13" s="62">
        <v>37540.239999999998</v>
      </c>
      <c r="I13" s="62">
        <v>31648.31</v>
      </c>
      <c r="J13" s="62">
        <v>15968.94</v>
      </c>
      <c r="K13" s="62">
        <v>14998.86</v>
      </c>
      <c r="L13" s="62">
        <v>46918.9</v>
      </c>
      <c r="M13" s="62">
        <v>1599.58</v>
      </c>
      <c r="N13" s="62">
        <v>-1461.58</v>
      </c>
      <c r="O13" s="62">
        <v>24206.74</v>
      </c>
      <c r="P13" s="62">
        <v>66483.899999999994</v>
      </c>
      <c r="Q13" s="62">
        <v>-4354</v>
      </c>
      <c r="R13" s="62">
        <v>18843</v>
      </c>
      <c r="S13" s="62">
        <v>-1691</v>
      </c>
      <c r="T13" s="145">
        <v>52297.94</v>
      </c>
      <c r="U13" s="145">
        <v>40119.219999999994</v>
      </c>
      <c r="V13" s="145">
        <v>71868.69</v>
      </c>
      <c r="W13" s="145">
        <v>29333.189999999995</v>
      </c>
      <c r="X13" s="145">
        <v>58270.259999999995</v>
      </c>
    </row>
    <row r="14" spans="1:24" x14ac:dyDescent="0.25">
      <c r="B14" s="62"/>
      <c r="C14" s="49">
        <v>1203</v>
      </c>
      <c r="D14" s="62">
        <v>3981.91</v>
      </c>
      <c r="E14" s="62">
        <v>0</v>
      </c>
      <c r="F14" s="62">
        <v>0</v>
      </c>
      <c r="G14" s="62">
        <v>0</v>
      </c>
      <c r="H14" s="62">
        <v>3.9</v>
      </c>
      <c r="I14" s="62">
        <v>0</v>
      </c>
      <c r="J14" s="62">
        <v>3981.91</v>
      </c>
      <c r="K14" s="62">
        <v>3981.91</v>
      </c>
      <c r="L14" s="62">
        <v>3981.91</v>
      </c>
      <c r="M14" s="62">
        <v>3981.91</v>
      </c>
      <c r="N14" s="62">
        <v>3981.91</v>
      </c>
      <c r="O14" s="62">
        <v>3981.91</v>
      </c>
      <c r="P14" s="62">
        <v>3981.91</v>
      </c>
      <c r="Q14" s="62">
        <v>4</v>
      </c>
      <c r="R14" s="62">
        <v>4</v>
      </c>
      <c r="S14" s="62">
        <v>3.8999999999996362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</row>
    <row r="15" spans="1:24" x14ac:dyDescent="0.25">
      <c r="B15" s="62"/>
      <c r="C15" s="49">
        <v>1204</v>
      </c>
      <c r="D15" s="62">
        <v>609.55999999999995</v>
      </c>
      <c r="E15" s="62">
        <v>856.64</v>
      </c>
      <c r="F15" s="62">
        <v>699.62</v>
      </c>
      <c r="G15" s="62">
        <v>700.48</v>
      </c>
      <c r="H15" s="62">
        <v>700</v>
      </c>
      <c r="I15" s="62">
        <v>700</v>
      </c>
      <c r="J15" s="62">
        <v>337.98</v>
      </c>
      <c r="K15" s="62">
        <v>700</v>
      </c>
      <c r="L15" s="62">
        <v>610.36</v>
      </c>
      <c r="M15" s="62">
        <v>700</v>
      </c>
      <c r="N15" s="62">
        <v>700</v>
      </c>
      <c r="O15" s="62">
        <v>544.22</v>
      </c>
      <c r="P15" s="62">
        <v>609.55999999999995</v>
      </c>
      <c r="Q15" s="62">
        <v>809.99</v>
      </c>
      <c r="R15" s="62">
        <v>857</v>
      </c>
      <c r="S15" s="62">
        <v>611.88</v>
      </c>
      <c r="T15" s="145">
        <v>856.64</v>
      </c>
      <c r="U15" s="145">
        <v>700</v>
      </c>
      <c r="V15" s="145">
        <v>700</v>
      </c>
      <c r="W15" s="145">
        <v>586.11</v>
      </c>
      <c r="X15" s="145">
        <v>586.12</v>
      </c>
    </row>
    <row r="16" spans="1:24" x14ac:dyDescent="0.25">
      <c r="B16" s="62"/>
      <c r="C16" s="49">
        <v>2100</v>
      </c>
      <c r="D16" s="62">
        <v>84645.81</v>
      </c>
      <c r="E16" s="62">
        <v>71296.809999999983</v>
      </c>
      <c r="F16" s="62">
        <v>49770.710000000006</v>
      </c>
      <c r="G16" s="62">
        <v>102629.76000000001</v>
      </c>
      <c r="H16" s="62">
        <v>-48912.679999999993</v>
      </c>
      <c r="I16" s="62">
        <v>569.18000000000029</v>
      </c>
      <c r="J16" s="62">
        <v>101744.88999999998</v>
      </c>
      <c r="K16" s="62">
        <v>73702.27</v>
      </c>
      <c r="L16" s="62">
        <v>86070.720000000001</v>
      </c>
      <c r="M16" s="62">
        <v>-25192.800000000003</v>
      </c>
      <c r="N16" s="62">
        <v>-165928.21</v>
      </c>
      <c r="O16" s="62">
        <v>46635.66</v>
      </c>
      <c r="P16" s="62">
        <v>226042.68</v>
      </c>
      <c r="Q16" s="62">
        <v>89721</v>
      </c>
      <c r="R16" s="62">
        <v>47095</v>
      </c>
      <c r="S16" s="62">
        <v>27849</v>
      </c>
      <c r="T16" s="145">
        <v>42685.95</v>
      </c>
      <c r="U16" s="145">
        <v>84048.760000000009</v>
      </c>
      <c r="V16" s="145">
        <v>168393.37</v>
      </c>
      <c r="W16" s="145">
        <v>52438.400000000009</v>
      </c>
      <c r="X16" s="145">
        <v>13480.900000000005</v>
      </c>
    </row>
    <row r="17" spans="1:24" x14ac:dyDescent="0.25">
      <c r="B17" s="62"/>
      <c r="C17" s="49">
        <v>2103</v>
      </c>
      <c r="D17" s="62">
        <v>235607.49</v>
      </c>
      <c r="E17" s="62">
        <v>235301.85</v>
      </c>
      <c r="F17" s="62">
        <v>235301.85</v>
      </c>
      <c r="G17" s="62">
        <v>235301.85</v>
      </c>
      <c r="H17" s="62">
        <v>235301.85</v>
      </c>
      <c r="I17" s="62">
        <v>235301.85</v>
      </c>
      <c r="J17" s="62">
        <v>235607.49</v>
      </c>
      <c r="K17" s="62">
        <v>235607.49</v>
      </c>
      <c r="L17" s="62">
        <v>235607.49</v>
      </c>
      <c r="M17" s="62">
        <v>235607.49</v>
      </c>
      <c r="N17" s="62">
        <v>235607.49</v>
      </c>
      <c r="O17" s="62">
        <v>235301.85</v>
      </c>
      <c r="P17" s="62">
        <v>235607.49</v>
      </c>
      <c r="Q17" s="62">
        <v>235302</v>
      </c>
      <c r="R17" s="62">
        <v>235302</v>
      </c>
      <c r="S17" s="62">
        <v>235302</v>
      </c>
      <c r="T17" s="145">
        <v>235301.84999999998</v>
      </c>
      <c r="U17" s="145">
        <v>235301.85</v>
      </c>
      <c r="V17" s="145">
        <v>235301.85</v>
      </c>
      <c r="W17" s="145">
        <v>235301.85</v>
      </c>
      <c r="X17" s="145">
        <v>231405.93</v>
      </c>
    </row>
    <row r="18" spans="1:24" x14ac:dyDescent="0.25">
      <c r="A18" t="s">
        <v>135</v>
      </c>
      <c r="B18" s="62"/>
      <c r="C18" s="49">
        <v>2104</v>
      </c>
      <c r="D18" s="62">
        <v>45819.590000000004</v>
      </c>
      <c r="E18" s="62">
        <v>53420.090000000004</v>
      </c>
      <c r="F18" s="62">
        <v>53420.090000000004</v>
      </c>
      <c r="G18" s="62">
        <v>53420.090000000004</v>
      </c>
      <c r="H18" s="62">
        <v>53420.090000000004</v>
      </c>
      <c r="I18" s="62">
        <v>53420.090000000004</v>
      </c>
      <c r="J18" s="62">
        <v>46047.090000000004</v>
      </c>
      <c r="K18" s="62">
        <v>46047.090000000004</v>
      </c>
      <c r="L18" s="62">
        <v>46047.090000000004</v>
      </c>
      <c r="M18" s="62">
        <v>43800.91</v>
      </c>
      <c r="N18" s="62">
        <v>46047.090000000004</v>
      </c>
      <c r="O18" s="62">
        <v>41247.090000000004</v>
      </c>
      <c r="P18" s="62">
        <v>45819.590000000004</v>
      </c>
      <c r="Q18" s="62">
        <v>24214</v>
      </c>
      <c r="R18" s="62">
        <v>24214</v>
      </c>
      <c r="S18" s="62">
        <v>24214.33</v>
      </c>
      <c r="T18" s="145">
        <v>24214.33</v>
      </c>
      <c r="U18" s="145">
        <v>24214.329999999994</v>
      </c>
      <c r="V18" s="145">
        <v>24214.329999999994</v>
      </c>
      <c r="W18" s="145">
        <v>24214.329999999994</v>
      </c>
      <c r="X18" s="145">
        <v>26017.939999999995</v>
      </c>
    </row>
    <row r="19" spans="1:24" x14ac:dyDescent="0.25">
      <c r="B19" s="62"/>
      <c r="C19" s="49">
        <v>2105</v>
      </c>
      <c r="D19" s="62">
        <v>6358.01</v>
      </c>
      <c r="E19" s="62">
        <v>6358.01</v>
      </c>
      <c r="F19" s="62">
        <v>6358.01</v>
      </c>
      <c r="G19" s="62">
        <v>6358.01</v>
      </c>
      <c r="H19" s="62">
        <v>6358.01</v>
      </c>
      <c r="I19" s="62">
        <v>6358.01</v>
      </c>
      <c r="J19" s="62">
        <v>6358.01</v>
      </c>
      <c r="K19" s="62">
        <v>6358.01</v>
      </c>
      <c r="L19" s="62">
        <v>6358.01</v>
      </c>
      <c r="M19" s="62">
        <v>6358.01</v>
      </c>
      <c r="N19" s="62">
        <v>6358.01</v>
      </c>
      <c r="O19" s="62">
        <v>6358.01</v>
      </c>
      <c r="P19" s="62">
        <v>6358.01</v>
      </c>
      <c r="Q19" s="62">
        <v>0</v>
      </c>
      <c r="R19" s="62">
        <v>0</v>
      </c>
      <c r="S19" s="62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</row>
    <row r="20" spans="1:24" x14ac:dyDescent="0.25">
      <c r="B20" s="62"/>
      <c r="C20" s="49">
        <v>2106</v>
      </c>
      <c r="D20" s="62">
        <v>-1096.5</v>
      </c>
      <c r="E20" s="62">
        <v>-1982.75</v>
      </c>
      <c r="F20" s="62">
        <v>-1982.75</v>
      </c>
      <c r="G20" s="62">
        <v>-1982.75</v>
      </c>
      <c r="H20" s="62">
        <v>-1982.75</v>
      </c>
      <c r="I20" s="62">
        <v>-1982.75</v>
      </c>
      <c r="J20" s="62">
        <v>-1982.75</v>
      </c>
      <c r="K20" s="62">
        <v>-1982.75</v>
      </c>
      <c r="L20" s="62">
        <v>-1982.75</v>
      </c>
      <c r="M20" s="62">
        <v>-1982.75</v>
      </c>
      <c r="N20" s="62">
        <v>-1982.75</v>
      </c>
      <c r="O20" s="62">
        <v>-1982.75</v>
      </c>
      <c r="P20" s="62">
        <v>-1096.5</v>
      </c>
      <c r="Q20" s="62">
        <v>0</v>
      </c>
      <c r="R20" s="62"/>
      <c r="S20" s="62">
        <v>0</v>
      </c>
      <c r="T20" s="145">
        <v>0</v>
      </c>
      <c r="U20" s="145">
        <v>0</v>
      </c>
      <c r="V20" s="145">
        <v>0</v>
      </c>
      <c r="W20" s="145">
        <v>0</v>
      </c>
      <c r="X20" s="145">
        <v>0</v>
      </c>
    </row>
    <row r="21" spans="1:24" x14ac:dyDescent="0.25">
      <c r="B21" s="62"/>
      <c r="C21" s="49">
        <v>2107</v>
      </c>
      <c r="D21" s="62">
        <v>4437.08</v>
      </c>
      <c r="E21" s="62">
        <v>5927.38</v>
      </c>
      <c r="F21" s="62">
        <v>6188.42</v>
      </c>
      <c r="G21" s="62">
        <v>6758.29</v>
      </c>
      <c r="H21" s="62">
        <v>6126.86</v>
      </c>
      <c r="I21" s="62">
        <v>5448.68</v>
      </c>
      <c r="J21" s="62">
        <v>4670.12</v>
      </c>
      <c r="K21" s="62">
        <v>4536.6400000000003</v>
      </c>
      <c r="L21" s="62">
        <v>6867.64</v>
      </c>
      <c r="M21" s="62">
        <v>4315.8</v>
      </c>
      <c r="N21" s="62">
        <v>2664.74</v>
      </c>
      <c r="O21" s="62">
        <v>3926.37</v>
      </c>
      <c r="P21" s="62">
        <v>4003.29</v>
      </c>
      <c r="Q21" s="62">
        <v>6317</v>
      </c>
      <c r="R21" s="62">
        <v>7511</v>
      </c>
      <c r="S21" s="62">
        <v>13441.43</v>
      </c>
      <c r="T21" s="145">
        <v>4606.3099999999995</v>
      </c>
      <c r="U21" s="145">
        <v>4327.5399999999991</v>
      </c>
      <c r="V21" s="145">
        <v>3944.0799999999995</v>
      </c>
      <c r="W21" s="145">
        <v>4148.2699999999995</v>
      </c>
      <c r="X21" s="145">
        <v>9308.6999999999989</v>
      </c>
    </row>
    <row r="22" spans="1:24" x14ac:dyDescent="0.25">
      <c r="B22" s="62"/>
      <c r="C22" s="49">
        <v>2108</v>
      </c>
      <c r="D22" s="62">
        <v>20287.35000000002</v>
      </c>
      <c r="E22" s="62">
        <v>17263.320000000018</v>
      </c>
      <c r="F22" s="62">
        <v>35933.49000000002</v>
      </c>
      <c r="G22" s="62">
        <v>33575.010000000017</v>
      </c>
      <c r="H22" s="62">
        <v>31284.960000000017</v>
      </c>
      <c r="I22" s="62">
        <v>67.740000000018654</v>
      </c>
      <c r="J22" s="62">
        <v>19245.770000000019</v>
      </c>
      <c r="K22" s="62">
        <v>59716.700000000019</v>
      </c>
      <c r="L22" s="62">
        <v>38645.460000000021</v>
      </c>
      <c r="M22" s="62">
        <v>66909.210000000021</v>
      </c>
      <c r="N22" s="62">
        <v>17747.610000000019</v>
      </c>
      <c r="O22" s="62">
        <v>-6991.5699999999815</v>
      </c>
      <c r="P22" s="62">
        <v>5708.1500000000187</v>
      </c>
      <c r="Q22" s="62">
        <v>-2678</v>
      </c>
      <c r="R22" s="62">
        <v>13014</v>
      </c>
      <c r="S22" s="62">
        <v>19003</v>
      </c>
      <c r="T22" s="145">
        <v>27952.04999999997</v>
      </c>
      <c r="U22" s="145">
        <v>34694.209999999963</v>
      </c>
      <c r="V22" s="145">
        <v>-8262.9000000000342</v>
      </c>
      <c r="W22" s="145">
        <v>8063.2799999999625</v>
      </c>
      <c r="X22" s="145">
        <v>28746.759999999966</v>
      </c>
    </row>
    <row r="23" spans="1:24" x14ac:dyDescent="0.25">
      <c r="B23" s="62"/>
      <c r="C23" s="49">
        <v>2109</v>
      </c>
      <c r="D23" s="62">
        <v>-1373.4399999999996</v>
      </c>
      <c r="E23" s="62">
        <v>-3258.0299999999997</v>
      </c>
      <c r="F23" s="62">
        <v>-13057.9</v>
      </c>
      <c r="G23" s="62">
        <v>-26822.14</v>
      </c>
      <c r="H23" s="62">
        <v>-33698.15</v>
      </c>
      <c r="I23" s="62">
        <v>-32869.919999999998</v>
      </c>
      <c r="J23" s="62">
        <v>10351.420000000002</v>
      </c>
      <c r="K23" s="62">
        <v>3244.32</v>
      </c>
      <c r="L23" s="62">
        <v>4398.54</v>
      </c>
      <c r="M23" s="62">
        <v>-1841.9299999999998</v>
      </c>
      <c r="N23" s="62">
        <v>-43249.97</v>
      </c>
      <c r="O23" s="62">
        <v>-35826.589999999997</v>
      </c>
      <c r="P23" s="62">
        <v>-15205.82</v>
      </c>
      <c r="Q23" s="62">
        <v>4113</v>
      </c>
      <c r="R23" s="62">
        <v>14808</v>
      </c>
      <c r="S23" s="62">
        <v>10634</v>
      </c>
      <c r="T23" s="145">
        <v>-15151.580000000002</v>
      </c>
      <c r="U23" s="145">
        <v>-9228.86</v>
      </c>
      <c r="V23" s="145">
        <v>-65470.240000000005</v>
      </c>
      <c r="W23" s="145">
        <v>-64349.090000000004</v>
      </c>
      <c r="X23" s="145">
        <v>-26316.379999999997</v>
      </c>
    </row>
    <row r="24" spans="1:24" x14ac:dyDescent="0.25">
      <c r="A24" s="51" t="s">
        <v>74</v>
      </c>
      <c r="B24" s="62"/>
      <c r="C24" s="49">
        <v>2110</v>
      </c>
      <c r="D24" s="62">
        <v>0</v>
      </c>
      <c r="E24" s="62">
        <v>0</v>
      </c>
      <c r="F24" s="62">
        <v>0</v>
      </c>
      <c r="G24" s="62"/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</row>
    <row r="25" spans="1:24" x14ac:dyDescent="0.25">
      <c r="A25" t="s">
        <v>137</v>
      </c>
      <c r="B25" s="62"/>
      <c r="C25" s="49">
        <v>2120</v>
      </c>
      <c r="D25" s="62">
        <v>100</v>
      </c>
      <c r="E25" s="62">
        <v>100</v>
      </c>
      <c r="F25" s="62">
        <v>100</v>
      </c>
      <c r="G25" s="62">
        <v>100</v>
      </c>
      <c r="H25" s="62">
        <v>100</v>
      </c>
      <c r="I25" s="62">
        <v>100</v>
      </c>
      <c r="J25" s="62">
        <v>100</v>
      </c>
      <c r="K25" s="62">
        <v>100</v>
      </c>
      <c r="L25" s="62">
        <v>100</v>
      </c>
      <c r="M25" s="62">
        <v>100</v>
      </c>
      <c r="N25" s="62">
        <v>100</v>
      </c>
      <c r="O25" s="62">
        <v>100</v>
      </c>
      <c r="P25" s="62">
        <v>100</v>
      </c>
      <c r="Q25" s="62">
        <v>100</v>
      </c>
      <c r="R25" s="62">
        <v>100</v>
      </c>
      <c r="S25" s="62">
        <v>100</v>
      </c>
      <c r="T25" s="145">
        <v>100</v>
      </c>
      <c r="U25" s="145">
        <v>100</v>
      </c>
      <c r="V25" s="145">
        <v>100</v>
      </c>
      <c r="W25" s="145">
        <v>100</v>
      </c>
      <c r="X25" s="145">
        <v>100</v>
      </c>
    </row>
    <row r="26" spans="1:24" x14ac:dyDescent="0.25">
      <c r="B26" s="62"/>
      <c r="C26" s="49">
        <v>2125</v>
      </c>
      <c r="D26" s="62">
        <v>455617.38</v>
      </c>
      <c r="E26" s="62">
        <v>536334.71000000008</v>
      </c>
      <c r="F26" s="62">
        <v>536335.71000000008</v>
      </c>
      <c r="G26" s="62">
        <v>536335.71000000008</v>
      </c>
      <c r="H26" s="62">
        <v>536334.71000000008</v>
      </c>
      <c r="I26" s="62">
        <v>536334.71000000008</v>
      </c>
      <c r="J26" s="62">
        <v>455617.38</v>
      </c>
      <c r="K26" s="62">
        <v>455617.38</v>
      </c>
      <c r="L26" s="62">
        <v>455617.38</v>
      </c>
      <c r="M26" s="62">
        <v>536335.71</v>
      </c>
      <c r="N26" s="62">
        <v>536335.71</v>
      </c>
      <c r="O26" s="62">
        <v>536334.71000000008</v>
      </c>
      <c r="P26" s="62">
        <v>455617.38</v>
      </c>
      <c r="Q26" s="62">
        <v>509970</v>
      </c>
      <c r="R26" s="62">
        <v>509970</v>
      </c>
      <c r="S26" s="62">
        <v>509970</v>
      </c>
      <c r="T26" s="145">
        <v>509969.50000000006</v>
      </c>
      <c r="U26" s="145">
        <v>558690.80000000005</v>
      </c>
      <c r="V26" s="145">
        <v>558690.80000000005</v>
      </c>
      <c r="W26" s="145">
        <v>558690.80000000005</v>
      </c>
      <c r="X26" s="145">
        <v>558690.80000000005</v>
      </c>
    </row>
    <row r="27" spans="1:24" x14ac:dyDescent="0.25">
      <c r="B27" s="62"/>
      <c r="C27" s="49">
        <v>2126</v>
      </c>
      <c r="D27" s="62">
        <v>-41329.269999999997</v>
      </c>
      <c r="E27" s="62">
        <v>-41360.980000000003</v>
      </c>
      <c r="F27" s="62">
        <v>-53872.78</v>
      </c>
      <c r="G27" s="62">
        <v>-45429.17</v>
      </c>
      <c r="H27" s="62">
        <v>-42827.27</v>
      </c>
      <c r="I27" s="62">
        <v>-48153.3</v>
      </c>
      <c r="J27" s="62">
        <v>-27045.130000000005</v>
      </c>
      <c r="K27" s="62">
        <v>83218.33</v>
      </c>
      <c r="L27" s="62">
        <v>-29967.259999999995</v>
      </c>
      <c r="M27" s="62">
        <v>-8209.2999999999993</v>
      </c>
      <c r="N27" s="62">
        <v>-24003.64</v>
      </c>
      <c r="O27" s="62">
        <v>-34625.29</v>
      </c>
      <c r="P27" s="62">
        <v>-40822.17</v>
      </c>
      <c r="Q27" s="62">
        <v>-37780</v>
      </c>
      <c r="R27" s="62">
        <v>-34027</v>
      </c>
      <c r="S27" s="62">
        <v>-31057</v>
      </c>
      <c r="T27" s="145">
        <v>48096.910000000149</v>
      </c>
      <c r="U27" s="145">
        <v>12329.190000000002</v>
      </c>
      <c r="V27" s="145">
        <v>-2689.1499999999651</v>
      </c>
      <c r="W27" s="145">
        <v>-17327.659999999974</v>
      </c>
      <c r="X27" s="145">
        <v>-20407.84999999986</v>
      </c>
    </row>
    <row r="29" spans="1:24" x14ac:dyDescent="0.25">
      <c r="E29" t="s">
        <v>281</v>
      </c>
    </row>
    <row r="30" spans="1:24" x14ac:dyDescent="0.25">
      <c r="E30">
        <v>-41019.25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  <pageSetUpPr fitToPage="1"/>
  </sheetPr>
  <dimension ref="A1:AH79"/>
  <sheetViews>
    <sheetView zoomScaleNormal="100" workbookViewId="0">
      <pane xSplit="2" ySplit="2" topLeftCell="C12" activePane="bottomRight" state="frozen"/>
      <selection pane="topRight" activeCell="C1" sqref="C1"/>
      <selection pane="bottomLeft" activeCell="A3" sqref="A3"/>
      <selection pane="bottomRight" activeCell="I14" sqref="I14"/>
    </sheetView>
  </sheetViews>
  <sheetFormatPr defaultRowHeight="12.75" x14ac:dyDescent="0.2"/>
  <cols>
    <col min="1" max="1" width="6.140625" style="5" customWidth="1"/>
    <col min="2" max="2" width="46.7109375" style="5" bestFit="1" customWidth="1"/>
    <col min="3" max="4" width="10.5703125" style="5" bestFit="1" customWidth="1"/>
    <col min="5" max="5" width="7.42578125" style="5" customWidth="1"/>
    <col min="6" max="7" width="10.5703125" style="5" bestFit="1" customWidth="1"/>
    <col min="8" max="11" width="10.5703125" style="5" customWidth="1"/>
    <col min="12" max="15" width="9.140625" style="5"/>
    <col min="16" max="16" width="9.5703125" style="5" bestFit="1" customWidth="1"/>
    <col min="17" max="18" width="11.7109375" style="5" customWidth="1"/>
    <col min="19" max="20" width="10.85546875" style="5" customWidth="1"/>
    <col min="21" max="23" width="9.140625" style="5" customWidth="1"/>
    <col min="24" max="24" width="9.85546875" style="5" bestFit="1" customWidth="1"/>
    <col min="25" max="25" width="9.140625" style="5"/>
    <col min="26" max="26" width="11.28515625" style="5" bestFit="1" customWidth="1"/>
    <col min="27" max="27" width="11.28515625" style="5" customWidth="1"/>
    <col min="28" max="33" width="9.140625" style="5"/>
    <col min="34" max="34" width="11" style="5" customWidth="1"/>
    <col min="35" max="241" width="9.140625" style="5"/>
    <col min="242" max="242" width="5" style="5" bestFit="1" customWidth="1"/>
    <col min="243" max="243" width="46.7109375" style="5" bestFit="1" customWidth="1"/>
    <col min="244" max="244" width="9.7109375" style="5" customWidth="1"/>
    <col min="245" max="245" width="10.5703125" style="5" bestFit="1" customWidth="1"/>
    <col min="246" max="246" width="9.7109375" style="5" customWidth="1"/>
    <col min="247" max="248" width="10.5703125" style="5" bestFit="1" customWidth="1"/>
    <col min="249" max="249" width="9.140625" style="5"/>
    <col min="250" max="250" width="11.85546875" style="5" customWidth="1"/>
    <col min="251" max="251" width="12" style="5" bestFit="1" customWidth="1"/>
    <col min="252" max="252" width="9.140625" style="5"/>
    <col min="253" max="253" width="10.28515625" style="5" bestFit="1" customWidth="1"/>
    <col min="254" max="254" width="10.5703125" style="5" bestFit="1" customWidth="1"/>
    <col min="255" max="255" width="9.140625" style="5"/>
    <col min="256" max="256" width="9.85546875" style="5" bestFit="1" customWidth="1"/>
    <col min="257" max="497" width="9.140625" style="5"/>
    <col min="498" max="498" width="5" style="5" bestFit="1" customWidth="1"/>
    <col min="499" max="499" width="46.7109375" style="5" bestFit="1" customWidth="1"/>
    <col min="500" max="500" width="9.7109375" style="5" customWidth="1"/>
    <col min="501" max="501" width="10.5703125" style="5" bestFit="1" customWidth="1"/>
    <col min="502" max="502" width="9.7109375" style="5" customWidth="1"/>
    <col min="503" max="504" width="10.5703125" style="5" bestFit="1" customWidth="1"/>
    <col min="505" max="505" width="9.140625" style="5"/>
    <col min="506" max="506" width="11.85546875" style="5" customWidth="1"/>
    <col min="507" max="507" width="12" style="5" bestFit="1" customWidth="1"/>
    <col min="508" max="508" width="9.140625" style="5"/>
    <col min="509" max="509" width="10.28515625" style="5" bestFit="1" customWidth="1"/>
    <col min="510" max="510" width="10.5703125" style="5" bestFit="1" customWidth="1"/>
    <col min="511" max="511" width="9.140625" style="5"/>
    <col min="512" max="512" width="9.85546875" style="5" bestFit="1" customWidth="1"/>
    <col min="513" max="753" width="9.140625" style="5"/>
    <col min="754" max="754" width="5" style="5" bestFit="1" customWidth="1"/>
    <col min="755" max="755" width="46.7109375" style="5" bestFit="1" customWidth="1"/>
    <col min="756" max="756" width="9.7109375" style="5" customWidth="1"/>
    <col min="757" max="757" width="10.5703125" style="5" bestFit="1" customWidth="1"/>
    <col min="758" max="758" width="9.7109375" style="5" customWidth="1"/>
    <col min="759" max="760" width="10.5703125" style="5" bestFit="1" customWidth="1"/>
    <col min="761" max="761" width="9.140625" style="5"/>
    <col min="762" max="762" width="11.85546875" style="5" customWidth="1"/>
    <col min="763" max="763" width="12" style="5" bestFit="1" customWidth="1"/>
    <col min="764" max="764" width="9.140625" style="5"/>
    <col min="765" max="765" width="10.28515625" style="5" bestFit="1" customWidth="1"/>
    <col min="766" max="766" width="10.5703125" style="5" bestFit="1" customWidth="1"/>
    <col min="767" max="767" width="9.140625" style="5"/>
    <col min="768" max="768" width="9.85546875" style="5" bestFit="1" customWidth="1"/>
    <col min="769" max="1009" width="9.140625" style="5"/>
    <col min="1010" max="1010" width="5" style="5" bestFit="1" customWidth="1"/>
    <col min="1011" max="1011" width="46.7109375" style="5" bestFit="1" customWidth="1"/>
    <col min="1012" max="1012" width="9.7109375" style="5" customWidth="1"/>
    <col min="1013" max="1013" width="10.5703125" style="5" bestFit="1" customWidth="1"/>
    <col min="1014" max="1014" width="9.7109375" style="5" customWidth="1"/>
    <col min="1015" max="1016" width="10.5703125" style="5" bestFit="1" customWidth="1"/>
    <col min="1017" max="1017" width="9.140625" style="5"/>
    <col min="1018" max="1018" width="11.85546875" style="5" customWidth="1"/>
    <col min="1019" max="1019" width="12" style="5" bestFit="1" customWidth="1"/>
    <col min="1020" max="1020" width="9.140625" style="5"/>
    <col min="1021" max="1021" width="10.28515625" style="5" bestFit="1" customWidth="1"/>
    <col min="1022" max="1022" width="10.5703125" style="5" bestFit="1" customWidth="1"/>
    <col min="1023" max="1023" width="9.140625" style="5"/>
    <col min="1024" max="1024" width="9.85546875" style="5" bestFit="1" customWidth="1"/>
    <col min="1025" max="1265" width="9.140625" style="5"/>
    <col min="1266" max="1266" width="5" style="5" bestFit="1" customWidth="1"/>
    <col min="1267" max="1267" width="46.7109375" style="5" bestFit="1" customWidth="1"/>
    <col min="1268" max="1268" width="9.7109375" style="5" customWidth="1"/>
    <col min="1269" max="1269" width="10.5703125" style="5" bestFit="1" customWidth="1"/>
    <col min="1270" max="1270" width="9.7109375" style="5" customWidth="1"/>
    <col min="1271" max="1272" width="10.5703125" style="5" bestFit="1" customWidth="1"/>
    <col min="1273" max="1273" width="9.140625" style="5"/>
    <col min="1274" max="1274" width="11.85546875" style="5" customWidth="1"/>
    <col min="1275" max="1275" width="12" style="5" bestFit="1" customWidth="1"/>
    <col min="1276" max="1276" width="9.140625" style="5"/>
    <col min="1277" max="1277" width="10.28515625" style="5" bestFit="1" customWidth="1"/>
    <col min="1278" max="1278" width="10.5703125" style="5" bestFit="1" customWidth="1"/>
    <col min="1279" max="1279" width="9.140625" style="5"/>
    <col min="1280" max="1280" width="9.85546875" style="5" bestFit="1" customWidth="1"/>
    <col min="1281" max="1521" width="9.140625" style="5"/>
    <col min="1522" max="1522" width="5" style="5" bestFit="1" customWidth="1"/>
    <col min="1523" max="1523" width="46.7109375" style="5" bestFit="1" customWidth="1"/>
    <col min="1524" max="1524" width="9.7109375" style="5" customWidth="1"/>
    <col min="1525" max="1525" width="10.5703125" style="5" bestFit="1" customWidth="1"/>
    <col min="1526" max="1526" width="9.7109375" style="5" customWidth="1"/>
    <col min="1527" max="1528" width="10.5703125" style="5" bestFit="1" customWidth="1"/>
    <col min="1529" max="1529" width="9.140625" style="5"/>
    <col min="1530" max="1530" width="11.85546875" style="5" customWidth="1"/>
    <col min="1531" max="1531" width="12" style="5" bestFit="1" customWidth="1"/>
    <col min="1532" max="1532" width="9.140625" style="5"/>
    <col min="1533" max="1533" width="10.28515625" style="5" bestFit="1" customWidth="1"/>
    <col min="1534" max="1534" width="10.5703125" style="5" bestFit="1" customWidth="1"/>
    <col min="1535" max="1535" width="9.140625" style="5"/>
    <col min="1536" max="1536" width="9.85546875" style="5" bestFit="1" customWidth="1"/>
    <col min="1537" max="1777" width="9.140625" style="5"/>
    <col min="1778" max="1778" width="5" style="5" bestFit="1" customWidth="1"/>
    <col min="1779" max="1779" width="46.7109375" style="5" bestFit="1" customWidth="1"/>
    <col min="1780" max="1780" width="9.7109375" style="5" customWidth="1"/>
    <col min="1781" max="1781" width="10.5703125" style="5" bestFit="1" customWidth="1"/>
    <col min="1782" max="1782" width="9.7109375" style="5" customWidth="1"/>
    <col min="1783" max="1784" width="10.5703125" style="5" bestFit="1" customWidth="1"/>
    <col min="1785" max="1785" width="9.140625" style="5"/>
    <col min="1786" max="1786" width="11.85546875" style="5" customWidth="1"/>
    <col min="1787" max="1787" width="12" style="5" bestFit="1" customWidth="1"/>
    <col min="1788" max="1788" width="9.140625" style="5"/>
    <col min="1789" max="1789" width="10.28515625" style="5" bestFit="1" customWidth="1"/>
    <col min="1790" max="1790" width="10.5703125" style="5" bestFit="1" customWidth="1"/>
    <col min="1791" max="1791" width="9.140625" style="5"/>
    <col min="1792" max="1792" width="9.85546875" style="5" bestFit="1" customWidth="1"/>
    <col min="1793" max="2033" width="9.140625" style="5"/>
    <col min="2034" max="2034" width="5" style="5" bestFit="1" customWidth="1"/>
    <col min="2035" max="2035" width="46.7109375" style="5" bestFit="1" customWidth="1"/>
    <col min="2036" max="2036" width="9.7109375" style="5" customWidth="1"/>
    <col min="2037" max="2037" width="10.5703125" style="5" bestFit="1" customWidth="1"/>
    <col min="2038" max="2038" width="9.7109375" style="5" customWidth="1"/>
    <col min="2039" max="2040" width="10.5703125" style="5" bestFit="1" customWidth="1"/>
    <col min="2041" max="2041" width="9.140625" style="5"/>
    <col min="2042" max="2042" width="11.85546875" style="5" customWidth="1"/>
    <col min="2043" max="2043" width="12" style="5" bestFit="1" customWidth="1"/>
    <col min="2044" max="2044" width="9.140625" style="5"/>
    <col min="2045" max="2045" width="10.28515625" style="5" bestFit="1" customWidth="1"/>
    <col min="2046" max="2046" width="10.5703125" style="5" bestFit="1" customWidth="1"/>
    <col min="2047" max="2047" width="9.140625" style="5"/>
    <col min="2048" max="2048" width="9.85546875" style="5" bestFit="1" customWidth="1"/>
    <col min="2049" max="2289" width="9.140625" style="5"/>
    <col min="2290" max="2290" width="5" style="5" bestFit="1" customWidth="1"/>
    <col min="2291" max="2291" width="46.7109375" style="5" bestFit="1" customWidth="1"/>
    <col min="2292" max="2292" width="9.7109375" style="5" customWidth="1"/>
    <col min="2293" max="2293" width="10.5703125" style="5" bestFit="1" customWidth="1"/>
    <col min="2294" max="2294" width="9.7109375" style="5" customWidth="1"/>
    <col min="2295" max="2296" width="10.5703125" style="5" bestFit="1" customWidth="1"/>
    <col min="2297" max="2297" width="9.140625" style="5"/>
    <col min="2298" max="2298" width="11.85546875" style="5" customWidth="1"/>
    <col min="2299" max="2299" width="12" style="5" bestFit="1" customWidth="1"/>
    <col min="2300" max="2300" width="9.140625" style="5"/>
    <col min="2301" max="2301" width="10.28515625" style="5" bestFit="1" customWidth="1"/>
    <col min="2302" max="2302" width="10.5703125" style="5" bestFit="1" customWidth="1"/>
    <col min="2303" max="2303" width="9.140625" style="5"/>
    <col min="2304" max="2304" width="9.85546875" style="5" bestFit="1" customWidth="1"/>
    <col min="2305" max="2545" width="9.140625" style="5"/>
    <col min="2546" max="2546" width="5" style="5" bestFit="1" customWidth="1"/>
    <col min="2547" max="2547" width="46.7109375" style="5" bestFit="1" customWidth="1"/>
    <col min="2548" max="2548" width="9.7109375" style="5" customWidth="1"/>
    <col min="2549" max="2549" width="10.5703125" style="5" bestFit="1" customWidth="1"/>
    <col min="2550" max="2550" width="9.7109375" style="5" customWidth="1"/>
    <col min="2551" max="2552" width="10.5703125" style="5" bestFit="1" customWidth="1"/>
    <col min="2553" max="2553" width="9.140625" style="5"/>
    <col min="2554" max="2554" width="11.85546875" style="5" customWidth="1"/>
    <col min="2555" max="2555" width="12" style="5" bestFit="1" customWidth="1"/>
    <col min="2556" max="2556" width="9.140625" style="5"/>
    <col min="2557" max="2557" width="10.28515625" style="5" bestFit="1" customWidth="1"/>
    <col min="2558" max="2558" width="10.5703125" style="5" bestFit="1" customWidth="1"/>
    <col min="2559" max="2559" width="9.140625" style="5"/>
    <col min="2560" max="2560" width="9.85546875" style="5" bestFit="1" customWidth="1"/>
    <col min="2561" max="2801" width="9.140625" style="5"/>
    <col min="2802" max="2802" width="5" style="5" bestFit="1" customWidth="1"/>
    <col min="2803" max="2803" width="46.7109375" style="5" bestFit="1" customWidth="1"/>
    <col min="2804" max="2804" width="9.7109375" style="5" customWidth="1"/>
    <col min="2805" max="2805" width="10.5703125" style="5" bestFit="1" customWidth="1"/>
    <col min="2806" max="2806" width="9.7109375" style="5" customWidth="1"/>
    <col min="2807" max="2808" width="10.5703125" style="5" bestFit="1" customWidth="1"/>
    <col min="2809" max="2809" width="9.140625" style="5"/>
    <col min="2810" max="2810" width="11.85546875" style="5" customWidth="1"/>
    <col min="2811" max="2811" width="12" style="5" bestFit="1" customWidth="1"/>
    <col min="2812" max="2812" width="9.140625" style="5"/>
    <col min="2813" max="2813" width="10.28515625" style="5" bestFit="1" customWidth="1"/>
    <col min="2814" max="2814" width="10.5703125" style="5" bestFit="1" customWidth="1"/>
    <col min="2815" max="2815" width="9.140625" style="5"/>
    <col min="2816" max="2816" width="9.85546875" style="5" bestFit="1" customWidth="1"/>
    <col min="2817" max="3057" width="9.140625" style="5"/>
    <col min="3058" max="3058" width="5" style="5" bestFit="1" customWidth="1"/>
    <col min="3059" max="3059" width="46.7109375" style="5" bestFit="1" customWidth="1"/>
    <col min="3060" max="3060" width="9.7109375" style="5" customWidth="1"/>
    <col min="3061" max="3061" width="10.5703125" style="5" bestFit="1" customWidth="1"/>
    <col min="3062" max="3062" width="9.7109375" style="5" customWidth="1"/>
    <col min="3063" max="3064" width="10.5703125" style="5" bestFit="1" customWidth="1"/>
    <col min="3065" max="3065" width="9.140625" style="5"/>
    <col min="3066" max="3066" width="11.85546875" style="5" customWidth="1"/>
    <col min="3067" max="3067" width="12" style="5" bestFit="1" customWidth="1"/>
    <col min="3068" max="3068" width="9.140625" style="5"/>
    <col min="3069" max="3069" width="10.28515625" style="5" bestFit="1" customWidth="1"/>
    <col min="3070" max="3070" width="10.5703125" style="5" bestFit="1" customWidth="1"/>
    <col min="3071" max="3071" width="9.140625" style="5"/>
    <col min="3072" max="3072" width="9.85546875" style="5" bestFit="1" customWidth="1"/>
    <col min="3073" max="3313" width="9.140625" style="5"/>
    <col min="3314" max="3314" width="5" style="5" bestFit="1" customWidth="1"/>
    <col min="3315" max="3315" width="46.7109375" style="5" bestFit="1" customWidth="1"/>
    <col min="3316" max="3316" width="9.7109375" style="5" customWidth="1"/>
    <col min="3317" max="3317" width="10.5703125" style="5" bestFit="1" customWidth="1"/>
    <col min="3318" max="3318" width="9.7109375" style="5" customWidth="1"/>
    <col min="3319" max="3320" width="10.5703125" style="5" bestFit="1" customWidth="1"/>
    <col min="3321" max="3321" width="9.140625" style="5"/>
    <col min="3322" max="3322" width="11.85546875" style="5" customWidth="1"/>
    <col min="3323" max="3323" width="12" style="5" bestFit="1" customWidth="1"/>
    <col min="3324" max="3324" width="9.140625" style="5"/>
    <col min="3325" max="3325" width="10.28515625" style="5" bestFit="1" customWidth="1"/>
    <col min="3326" max="3326" width="10.5703125" style="5" bestFit="1" customWidth="1"/>
    <col min="3327" max="3327" width="9.140625" style="5"/>
    <col min="3328" max="3328" width="9.85546875" style="5" bestFit="1" customWidth="1"/>
    <col min="3329" max="3569" width="9.140625" style="5"/>
    <col min="3570" max="3570" width="5" style="5" bestFit="1" customWidth="1"/>
    <col min="3571" max="3571" width="46.7109375" style="5" bestFit="1" customWidth="1"/>
    <col min="3572" max="3572" width="9.7109375" style="5" customWidth="1"/>
    <col min="3573" max="3573" width="10.5703125" style="5" bestFit="1" customWidth="1"/>
    <col min="3574" max="3574" width="9.7109375" style="5" customWidth="1"/>
    <col min="3575" max="3576" width="10.5703125" style="5" bestFit="1" customWidth="1"/>
    <col min="3577" max="3577" width="9.140625" style="5"/>
    <col min="3578" max="3578" width="11.85546875" style="5" customWidth="1"/>
    <col min="3579" max="3579" width="12" style="5" bestFit="1" customWidth="1"/>
    <col min="3580" max="3580" width="9.140625" style="5"/>
    <col min="3581" max="3581" width="10.28515625" style="5" bestFit="1" customWidth="1"/>
    <col min="3582" max="3582" width="10.5703125" style="5" bestFit="1" customWidth="1"/>
    <col min="3583" max="3583" width="9.140625" style="5"/>
    <col min="3584" max="3584" width="9.85546875" style="5" bestFit="1" customWidth="1"/>
    <col min="3585" max="3825" width="9.140625" style="5"/>
    <col min="3826" max="3826" width="5" style="5" bestFit="1" customWidth="1"/>
    <col min="3827" max="3827" width="46.7109375" style="5" bestFit="1" customWidth="1"/>
    <col min="3828" max="3828" width="9.7109375" style="5" customWidth="1"/>
    <col min="3829" max="3829" width="10.5703125" style="5" bestFit="1" customWidth="1"/>
    <col min="3830" max="3830" width="9.7109375" style="5" customWidth="1"/>
    <col min="3831" max="3832" width="10.5703125" style="5" bestFit="1" customWidth="1"/>
    <col min="3833" max="3833" width="9.140625" style="5"/>
    <col min="3834" max="3834" width="11.85546875" style="5" customWidth="1"/>
    <col min="3835" max="3835" width="12" style="5" bestFit="1" customWidth="1"/>
    <col min="3836" max="3836" width="9.140625" style="5"/>
    <col min="3837" max="3837" width="10.28515625" style="5" bestFit="1" customWidth="1"/>
    <col min="3838" max="3838" width="10.5703125" style="5" bestFit="1" customWidth="1"/>
    <col min="3839" max="3839" width="9.140625" style="5"/>
    <col min="3840" max="3840" width="9.85546875" style="5" bestFit="1" customWidth="1"/>
    <col min="3841" max="4081" width="9.140625" style="5"/>
    <col min="4082" max="4082" width="5" style="5" bestFit="1" customWidth="1"/>
    <col min="4083" max="4083" width="46.7109375" style="5" bestFit="1" customWidth="1"/>
    <col min="4084" max="4084" width="9.7109375" style="5" customWidth="1"/>
    <col min="4085" max="4085" width="10.5703125" style="5" bestFit="1" customWidth="1"/>
    <col min="4086" max="4086" width="9.7109375" style="5" customWidth="1"/>
    <col min="4087" max="4088" width="10.5703125" style="5" bestFit="1" customWidth="1"/>
    <col min="4089" max="4089" width="9.140625" style="5"/>
    <col min="4090" max="4090" width="11.85546875" style="5" customWidth="1"/>
    <col min="4091" max="4091" width="12" style="5" bestFit="1" customWidth="1"/>
    <col min="4092" max="4092" width="9.140625" style="5"/>
    <col min="4093" max="4093" width="10.28515625" style="5" bestFit="1" customWidth="1"/>
    <col min="4094" max="4094" width="10.5703125" style="5" bestFit="1" customWidth="1"/>
    <col min="4095" max="4095" width="9.140625" style="5"/>
    <col min="4096" max="4096" width="9.85546875" style="5" bestFit="1" customWidth="1"/>
    <col min="4097" max="4337" width="9.140625" style="5"/>
    <col min="4338" max="4338" width="5" style="5" bestFit="1" customWidth="1"/>
    <col min="4339" max="4339" width="46.7109375" style="5" bestFit="1" customWidth="1"/>
    <col min="4340" max="4340" width="9.7109375" style="5" customWidth="1"/>
    <col min="4341" max="4341" width="10.5703125" style="5" bestFit="1" customWidth="1"/>
    <col min="4342" max="4342" width="9.7109375" style="5" customWidth="1"/>
    <col min="4343" max="4344" width="10.5703125" style="5" bestFit="1" customWidth="1"/>
    <col min="4345" max="4345" width="9.140625" style="5"/>
    <col min="4346" max="4346" width="11.85546875" style="5" customWidth="1"/>
    <col min="4347" max="4347" width="12" style="5" bestFit="1" customWidth="1"/>
    <col min="4348" max="4348" width="9.140625" style="5"/>
    <col min="4349" max="4349" width="10.28515625" style="5" bestFit="1" customWidth="1"/>
    <col min="4350" max="4350" width="10.5703125" style="5" bestFit="1" customWidth="1"/>
    <col min="4351" max="4351" width="9.140625" style="5"/>
    <col min="4352" max="4352" width="9.85546875" style="5" bestFit="1" customWidth="1"/>
    <col min="4353" max="4593" width="9.140625" style="5"/>
    <col min="4594" max="4594" width="5" style="5" bestFit="1" customWidth="1"/>
    <col min="4595" max="4595" width="46.7109375" style="5" bestFit="1" customWidth="1"/>
    <col min="4596" max="4596" width="9.7109375" style="5" customWidth="1"/>
    <col min="4597" max="4597" width="10.5703125" style="5" bestFit="1" customWidth="1"/>
    <col min="4598" max="4598" width="9.7109375" style="5" customWidth="1"/>
    <col min="4599" max="4600" width="10.5703125" style="5" bestFit="1" customWidth="1"/>
    <col min="4601" max="4601" width="9.140625" style="5"/>
    <col min="4602" max="4602" width="11.85546875" style="5" customWidth="1"/>
    <col min="4603" max="4603" width="12" style="5" bestFit="1" customWidth="1"/>
    <col min="4604" max="4604" width="9.140625" style="5"/>
    <col min="4605" max="4605" width="10.28515625" style="5" bestFit="1" customWidth="1"/>
    <col min="4606" max="4606" width="10.5703125" style="5" bestFit="1" customWidth="1"/>
    <col min="4607" max="4607" width="9.140625" style="5"/>
    <col min="4608" max="4608" width="9.85546875" style="5" bestFit="1" customWidth="1"/>
    <col min="4609" max="4849" width="9.140625" style="5"/>
    <col min="4850" max="4850" width="5" style="5" bestFit="1" customWidth="1"/>
    <col min="4851" max="4851" width="46.7109375" style="5" bestFit="1" customWidth="1"/>
    <col min="4852" max="4852" width="9.7109375" style="5" customWidth="1"/>
    <col min="4853" max="4853" width="10.5703125" style="5" bestFit="1" customWidth="1"/>
    <col min="4854" max="4854" width="9.7109375" style="5" customWidth="1"/>
    <col min="4855" max="4856" width="10.5703125" style="5" bestFit="1" customWidth="1"/>
    <col min="4857" max="4857" width="9.140625" style="5"/>
    <col min="4858" max="4858" width="11.85546875" style="5" customWidth="1"/>
    <col min="4859" max="4859" width="12" style="5" bestFit="1" customWidth="1"/>
    <col min="4860" max="4860" width="9.140625" style="5"/>
    <col min="4861" max="4861" width="10.28515625" style="5" bestFit="1" customWidth="1"/>
    <col min="4862" max="4862" width="10.5703125" style="5" bestFit="1" customWidth="1"/>
    <col min="4863" max="4863" width="9.140625" style="5"/>
    <col min="4864" max="4864" width="9.85546875" style="5" bestFit="1" customWidth="1"/>
    <col min="4865" max="5105" width="9.140625" style="5"/>
    <col min="5106" max="5106" width="5" style="5" bestFit="1" customWidth="1"/>
    <col min="5107" max="5107" width="46.7109375" style="5" bestFit="1" customWidth="1"/>
    <col min="5108" max="5108" width="9.7109375" style="5" customWidth="1"/>
    <col min="5109" max="5109" width="10.5703125" style="5" bestFit="1" customWidth="1"/>
    <col min="5110" max="5110" width="9.7109375" style="5" customWidth="1"/>
    <col min="5111" max="5112" width="10.5703125" style="5" bestFit="1" customWidth="1"/>
    <col min="5113" max="5113" width="9.140625" style="5"/>
    <col min="5114" max="5114" width="11.85546875" style="5" customWidth="1"/>
    <col min="5115" max="5115" width="12" style="5" bestFit="1" customWidth="1"/>
    <col min="5116" max="5116" width="9.140625" style="5"/>
    <col min="5117" max="5117" width="10.28515625" style="5" bestFit="1" customWidth="1"/>
    <col min="5118" max="5118" width="10.5703125" style="5" bestFit="1" customWidth="1"/>
    <col min="5119" max="5119" width="9.140625" style="5"/>
    <col min="5120" max="5120" width="9.85546875" style="5" bestFit="1" customWidth="1"/>
    <col min="5121" max="5361" width="9.140625" style="5"/>
    <col min="5362" max="5362" width="5" style="5" bestFit="1" customWidth="1"/>
    <col min="5363" max="5363" width="46.7109375" style="5" bestFit="1" customWidth="1"/>
    <col min="5364" max="5364" width="9.7109375" style="5" customWidth="1"/>
    <col min="5365" max="5365" width="10.5703125" style="5" bestFit="1" customWidth="1"/>
    <col min="5366" max="5366" width="9.7109375" style="5" customWidth="1"/>
    <col min="5367" max="5368" width="10.5703125" style="5" bestFit="1" customWidth="1"/>
    <col min="5369" max="5369" width="9.140625" style="5"/>
    <col min="5370" max="5370" width="11.85546875" style="5" customWidth="1"/>
    <col min="5371" max="5371" width="12" style="5" bestFit="1" customWidth="1"/>
    <col min="5372" max="5372" width="9.140625" style="5"/>
    <col min="5373" max="5373" width="10.28515625" style="5" bestFit="1" customWidth="1"/>
    <col min="5374" max="5374" width="10.5703125" style="5" bestFit="1" customWidth="1"/>
    <col min="5375" max="5375" width="9.140625" style="5"/>
    <col min="5376" max="5376" width="9.85546875" style="5" bestFit="1" customWidth="1"/>
    <col min="5377" max="5617" width="9.140625" style="5"/>
    <col min="5618" max="5618" width="5" style="5" bestFit="1" customWidth="1"/>
    <col min="5619" max="5619" width="46.7109375" style="5" bestFit="1" customWidth="1"/>
    <col min="5620" max="5620" width="9.7109375" style="5" customWidth="1"/>
    <col min="5621" max="5621" width="10.5703125" style="5" bestFit="1" customWidth="1"/>
    <col min="5622" max="5622" width="9.7109375" style="5" customWidth="1"/>
    <col min="5623" max="5624" width="10.5703125" style="5" bestFit="1" customWidth="1"/>
    <col min="5625" max="5625" width="9.140625" style="5"/>
    <col min="5626" max="5626" width="11.85546875" style="5" customWidth="1"/>
    <col min="5627" max="5627" width="12" style="5" bestFit="1" customWidth="1"/>
    <col min="5628" max="5628" width="9.140625" style="5"/>
    <col min="5629" max="5629" width="10.28515625" style="5" bestFit="1" customWidth="1"/>
    <col min="5630" max="5630" width="10.5703125" style="5" bestFit="1" customWidth="1"/>
    <col min="5631" max="5631" width="9.140625" style="5"/>
    <col min="5632" max="5632" width="9.85546875" style="5" bestFit="1" customWidth="1"/>
    <col min="5633" max="5873" width="9.140625" style="5"/>
    <col min="5874" max="5874" width="5" style="5" bestFit="1" customWidth="1"/>
    <col min="5875" max="5875" width="46.7109375" style="5" bestFit="1" customWidth="1"/>
    <col min="5876" max="5876" width="9.7109375" style="5" customWidth="1"/>
    <col min="5877" max="5877" width="10.5703125" style="5" bestFit="1" customWidth="1"/>
    <col min="5878" max="5878" width="9.7109375" style="5" customWidth="1"/>
    <col min="5879" max="5880" width="10.5703125" style="5" bestFit="1" customWidth="1"/>
    <col min="5881" max="5881" width="9.140625" style="5"/>
    <col min="5882" max="5882" width="11.85546875" style="5" customWidth="1"/>
    <col min="5883" max="5883" width="12" style="5" bestFit="1" customWidth="1"/>
    <col min="5884" max="5884" width="9.140625" style="5"/>
    <col min="5885" max="5885" width="10.28515625" style="5" bestFit="1" customWidth="1"/>
    <col min="5886" max="5886" width="10.5703125" style="5" bestFit="1" customWidth="1"/>
    <col min="5887" max="5887" width="9.140625" style="5"/>
    <col min="5888" max="5888" width="9.85546875" style="5" bestFit="1" customWidth="1"/>
    <col min="5889" max="6129" width="9.140625" style="5"/>
    <col min="6130" max="6130" width="5" style="5" bestFit="1" customWidth="1"/>
    <col min="6131" max="6131" width="46.7109375" style="5" bestFit="1" customWidth="1"/>
    <col min="6132" max="6132" width="9.7109375" style="5" customWidth="1"/>
    <col min="6133" max="6133" width="10.5703125" style="5" bestFit="1" customWidth="1"/>
    <col min="6134" max="6134" width="9.7109375" style="5" customWidth="1"/>
    <col min="6135" max="6136" width="10.5703125" style="5" bestFit="1" customWidth="1"/>
    <col min="6137" max="6137" width="9.140625" style="5"/>
    <col min="6138" max="6138" width="11.85546875" style="5" customWidth="1"/>
    <col min="6139" max="6139" width="12" style="5" bestFit="1" customWidth="1"/>
    <col min="6140" max="6140" width="9.140625" style="5"/>
    <col min="6141" max="6141" width="10.28515625" style="5" bestFit="1" customWidth="1"/>
    <col min="6142" max="6142" width="10.5703125" style="5" bestFit="1" customWidth="1"/>
    <col min="6143" max="6143" width="9.140625" style="5"/>
    <col min="6144" max="6144" width="9.85546875" style="5" bestFit="1" customWidth="1"/>
    <col min="6145" max="6385" width="9.140625" style="5"/>
    <col min="6386" max="6386" width="5" style="5" bestFit="1" customWidth="1"/>
    <col min="6387" max="6387" width="46.7109375" style="5" bestFit="1" customWidth="1"/>
    <col min="6388" max="6388" width="9.7109375" style="5" customWidth="1"/>
    <col min="6389" max="6389" width="10.5703125" style="5" bestFit="1" customWidth="1"/>
    <col min="6390" max="6390" width="9.7109375" style="5" customWidth="1"/>
    <col min="6391" max="6392" width="10.5703125" style="5" bestFit="1" customWidth="1"/>
    <col min="6393" max="6393" width="9.140625" style="5"/>
    <col min="6394" max="6394" width="11.85546875" style="5" customWidth="1"/>
    <col min="6395" max="6395" width="12" style="5" bestFit="1" customWidth="1"/>
    <col min="6396" max="6396" width="9.140625" style="5"/>
    <col min="6397" max="6397" width="10.28515625" style="5" bestFit="1" customWidth="1"/>
    <col min="6398" max="6398" width="10.5703125" style="5" bestFit="1" customWidth="1"/>
    <col min="6399" max="6399" width="9.140625" style="5"/>
    <col min="6400" max="6400" width="9.85546875" style="5" bestFit="1" customWidth="1"/>
    <col min="6401" max="6641" width="9.140625" style="5"/>
    <col min="6642" max="6642" width="5" style="5" bestFit="1" customWidth="1"/>
    <col min="6643" max="6643" width="46.7109375" style="5" bestFit="1" customWidth="1"/>
    <col min="6644" max="6644" width="9.7109375" style="5" customWidth="1"/>
    <col min="6645" max="6645" width="10.5703125" style="5" bestFit="1" customWidth="1"/>
    <col min="6646" max="6646" width="9.7109375" style="5" customWidth="1"/>
    <col min="6647" max="6648" width="10.5703125" style="5" bestFit="1" customWidth="1"/>
    <col min="6649" max="6649" width="9.140625" style="5"/>
    <col min="6650" max="6650" width="11.85546875" style="5" customWidth="1"/>
    <col min="6651" max="6651" width="12" style="5" bestFit="1" customWidth="1"/>
    <col min="6652" max="6652" width="9.140625" style="5"/>
    <col min="6653" max="6653" width="10.28515625" style="5" bestFit="1" customWidth="1"/>
    <col min="6654" max="6654" width="10.5703125" style="5" bestFit="1" customWidth="1"/>
    <col min="6655" max="6655" width="9.140625" style="5"/>
    <col min="6656" max="6656" width="9.85546875" style="5" bestFit="1" customWidth="1"/>
    <col min="6657" max="6897" width="9.140625" style="5"/>
    <col min="6898" max="6898" width="5" style="5" bestFit="1" customWidth="1"/>
    <col min="6899" max="6899" width="46.7109375" style="5" bestFit="1" customWidth="1"/>
    <col min="6900" max="6900" width="9.7109375" style="5" customWidth="1"/>
    <col min="6901" max="6901" width="10.5703125" style="5" bestFit="1" customWidth="1"/>
    <col min="6902" max="6902" width="9.7109375" style="5" customWidth="1"/>
    <col min="6903" max="6904" width="10.5703125" style="5" bestFit="1" customWidth="1"/>
    <col min="6905" max="6905" width="9.140625" style="5"/>
    <col min="6906" max="6906" width="11.85546875" style="5" customWidth="1"/>
    <col min="6907" max="6907" width="12" style="5" bestFit="1" customWidth="1"/>
    <col min="6908" max="6908" width="9.140625" style="5"/>
    <col min="6909" max="6909" width="10.28515625" style="5" bestFit="1" customWidth="1"/>
    <col min="6910" max="6910" width="10.5703125" style="5" bestFit="1" customWidth="1"/>
    <col min="6911" max="6911" width="9.140625" style="5"/>
    <col min="6912" max="6912" width="9.85546875" style="5" bestFit="1" customWidth="1"/>
    <col min="6913" max="7153" width="9.140625" style="5"/>
    <col min="7154" max="7154" width="5" style="5" bestFit="1" customWidth="1"/>
    <col min="7155" max="7155" width="46.7109375" style="5" bestFit="1" customWidth="1"/>
    <col min="7156" max="7156" width="9.7109375" style="5" customWidth="1"/>
    <col min="7157" max="7157" width="10.5703125" style="5" bestFit="1" customWidth="1"/>
    <col min="7158" max="7158" width="9.7109375" style="5" customWidth="1"/>
    <col min="7159" max="7160" width="10.5703125" style="5" bestFit="1" customWidth="1"/>
    <col min="7161" max="7161" width="9.140625" style="5"/>
    <col min="7162" max="7162" width="11.85546875" style="5" customWidth="1"/>
    <col min="7163" max="7163" width="12" style="5" bestFit="1" customWidth="1"/>
    <col min="7164" max="7164" width="9.140625" style="5"/>
    <col min="7165" max="7165" width="10.28515625" style="5" bestFit="1" customWidth="1"/>
    <col min="7166" max="7166" width="10.5703125" style="5" bestFit="1" customWidth="1"/>
    <col min="7167" max="7167" width="9.140625" style="5"/>
    <col min="7168" max="7168" width="9.85546875" style="5" bestFit="1" customWidth="1"/>
    <col min="7169" max="7409" width="9.140625" style="5"/>
    <col min="7410" max="7410" width="5" style="5" bestFit="1" customWidth="1"/>
    <col min="7411" max="7411" width="46.7109375" style="5" bestFit="1" customWidth="1"/>
    <col min="7412" max="7412" width="9.7109375" style="5" customWidth="1"/>
    <col min="7413" max="7413" width="10.5703125" style="5" bestFit="1" customWidth="1"/>
    <col min="7414" max="7414" width="9.7109375" style="5" customWidth="1"/>
    <col min="7415" max="7416" width="10.5703125" style="5" bestFit="1" customWidth="1"/>
    <col min="7417" max="7417" width="9.140625" style="5"/>
    <col min="7418" max="7418" width="11.85546875" style="5" customWidth="1"/>
    <col min="7419" max="7419" width="12" style="5" bestFit="1" customWidth="1"/>
    <col min="7420" max="7420" width="9.140625" style="5"/>
    <col min="7421" max="7421" width="10.28515625" style="5" bestFit="1" customWidth="1"/>
    <col min="7422" max="7422" width="10.5703125" style="5" bestFit="1" customWidth="1"/>
    <col min="7423" max="7423" width="9.140625" style="5"/>
    <col min="7424" max="7424" width="9.85546875" style="5" bestFit="1" customWidth="1"/>
    <col min="7425" max="7665" width="9.140625" style="5"/>
    <col min="7666" max="7666" width="5" style="5" bestFit="1" customWidth="1"/>
    <col min="7667" max="7667" width="46.7109375" style="5" bestFit="1" customWidth="1"/>
    <col min="7668" max="7668" width="9.7109375" style="5" customWidth="1"/>
    <col min="7669" max="7669" width="10.5703125" style="5" bestFit="1" customWidth="1"/>
    <col min="7670" max="7670" width="9.7109375" style="5" customWidth="1"/>
    <col min="7671" max="7672" width="10.5703125" style="5" bestFit="1" customWidth="1"/>
    <col min="7673" max="7673" width="9.140625" style="5"/>
    <col min="7674" max="7674" width="11.85546875" style="5" customWidth="1"/>
    <col min="7675" max="7675" width="12" style="5" bestFit="1" customWidth="1"/>
    <col min="7676" max="7676" width="9.140625" style="5"/>
    <col min="7677" max="7677" width="10.28515625" style="5" bestFit="1" customWidth="1"/>
    <col min="7678" max="7678" width="10.5703125" style="5" bestFit="1" customWidth="1"/>
    <col min="7679" max="7679" width="9.140625" style="5"/>
    <col min="7680" max="7680" width="9.85546875" style="5" bestFit="1" customWidth="1"/>
    <col min="7681" max="7921" width="9.140625" style="5"/>
    <col min="7922" max="7922" width="5" style="5" bestFit="1" customWidth="1"/>
    <col min="7923" max="7923" width="46.7109375" style="5" bestFit="1" customWidth="1"/>
    <col min="7924" max="7924" width="9.7109375" style="5" customWidth="1"/>
    <col min="7925" max="7925" width="10.5703125" style="5" bestFit="1" customWidth="1"/>
    <col min="7926" max="7926" width="9.7109375" style="5" customWidth="1"/>
    <col min="7927" max="7928" width="10.5703125" style="5" bestFit="1" customWidth="1"/>
    <col min="7929" max="7929" width="9.140625" style="5"/>
    <col min="7930" max="7930" width="11.85546875" style="5" customWidth="1"/>
    <col min="7931" max="7931" width="12" style="5" bestFit="1" customWidth="1"/>
    <col min="7932" max="7932" width="9.140625" style="5"/>
    <col min="7933" max="7933" width="10.28515625" style="5" bestFit="1" customWidth="1"/>
    <col min="7934" max="7934" width="10.5703125" style="5" bestFit="1" customWidth="1"/>
    <col min="7935" max="7935" width="9.140625" style="5"/>
    <col min="7936" max="7936" width="9.85546875" style="5" bestFit="1" customWidth="1"/>
    <col min="7937" max="8177" width="9.140625" style="5"/>
    <col min="8178" max="8178" width="5" style="5" bestFit="1" customWidth="1"/>
    <col min="8179" max="8179" width="46.7109375" style="5" bestFit="1" customWidth="1"/>
    <col min="8180" max="8180" width="9.7109375" style="5" customWidth="1"/>
    <col min="8181" max="8181" width="10.5703125" style="5" bestFit="1" customWidth="1"/>
    <col min="8182" max="8182" width="9.7109375" style="5" customWidth="1"/>
    <col min="8183" max="8184" width="10.5703125" style="5" bestFit="1" customWidth="1"/>
    <col min="8185" max="8185" width="9.140625" style="5"/>
    <col min="8186" max="8186" width="11.85546875" style="5" customWidth="1"/>
    <col min="8187" max="8187" width="12" style="5" bestFit="1" customWidth="1"/>
    <col min="8188" max="8188" width="9.140625" style="5"/>
    <col min="8189" max="8189" width="10.28515625" style="5" bestFit="1" customWidth="1"/>
    <col min="8190" max="8190" width="10.5703125" style="5" bestFit="1" customWidth="1"/>
    <col min="8191" max="8191" width="9.140625" style="5"/>
    <col min="8192" max="8192" width="9.85546875" style="5" bestFit="1" customWidth="1"/>
    <col min="8193" max="8433" width="9.140625" style="5"/>
    <col min="8434" max="8434" width="5" style="5" bestFit="1" customWidth="1"/>
    <col min="8435" max="8435" width="46.7109375" style="5" bestFit="1" customWidth="1"/>
    <col min="8436" max="8436" width="9.7109375" style="5" customWidth="1"/>
    <col min="8437" max="8437" width="10.5703125" style="5" bestFit="1" customWidth="1"/>
    <col min="8438" max="8438" width="9.7109375" style="5" customWidth="1"/>
    <col min="8439" max="8440" width="10.5703125" style="5" bestFit="1" customWidth="1"/>
    <col min="8441" max="8441" width="9.140625" style="5"/>
    <col min="8442" max="8442" width="11.85546875" style="5" customWidth="1"/>
    <col min="8443" max="8443" width="12" style="5" bestFit="1" customWidth="1"/>
    <col min="8444" max="8444" width="9.140625" style="5"/>
    <col min="8445" max="8445" width="10.28515625" style="5" bestFit="1" customWidth="1"/>
    <col min="8446" max="8446" width="10.5703125" style="5" bestFit="1" customWidth="1"/>
    <col min="8447" max="8447" width="9.140625" style="5"/>
    <col min="8448" max="8448" width="9.85546875" style="5" bestFit="1" customWidth="1"/>
    <col min="8449" max="8689" width="9.140625" style="5"/>
    <col min="8690" max="8690" width="5" style="5" bestFit="1" customWidth="1"/>
    <col min="8691" max="8691" width="46.7109375" style="5" bestFit="1" customWidth="1"/>
    <col min="8692" max="8692" width="9.7109375" style="5" customWidth="1"/>
    <col min="8693" max="8693" width="10.5703125" style="5" bestFit="1" customWidth="1"/>
    <col min="8694" max="8694" width="9.7109375" style="5" customWidth="1"/>
    <col min="8695" max="8696" width="10.5703125" style="5" bestFit="1" customWidth="1"/>
    <col min="8697" max="8697" width="9.140625" style="5"/>
    <col min="8698" max="8698" width="11.85546875" style="5" customWidth="1"/>
    <col min="8699" max="8699" width="12" style="5" bestFit="1" customWidth="1"/>
    <col min="8700" max="8700" width="9.140625" style="5"/>
    <col min="8701" max="8701" width="10.28515625" style="5" bestFit="1" customWidth="1"/>
    <col min="8702" max="8702" width="10.5703125" style="5" bestFit="1" customWidth="1"/>
    <col min="8703" max="8703" width="9.140625" style="5"/>
    <col min="8704" max="8704" width="9.85546875" style="5" bestFit="1" customWidth="1"/>
    <col min="8705" max="8945" width="9.140625" style="5"/>
    <col min="8946" max="8946" width="5" style="5" bestFit="1" customWidth="1"/>
    <col min="8947" max="8947" width="46.7109375" style="5" bestFit="1" customWidth="1"/>
    <col min="8948" max="8948" width="9.7109375" style="5" customWidth="1"/>
    <col min="8949" max="8949" width="10.5703125" style="5" bestFit="1" customWidth="1"/>
    <col min="8950" max="8950" width="9.7109375" style="5" customWidth="1"/>
    <col min="8951" max="8952" width="10.5703125" style="5" bestFit="1" customWidth="1"/>
    <col min="8953" max="8953" width="9.140625" style="5"/>
    <col min="8954" max="8954" width="11.85546875" style="5" customWidth="1"/>
    <col min="8955" max="8955" width="12" style="5" bestFit="1" customWidth="1"/>
    <col min="8956" max="8956" width="9.140625" style="5"/>
    <col min="8957" max="8957" width="10.28515625" style="5" bestFit="1" customWidth="1"/>
    <col min="8958" max="8958" width="10.5703125" style="5" bestFit="1" customWidth="1"/>
    <col min="8959" max="8959" width="9.140625" style="5"/>
    <col min="8960" max="8960" width="9.85546875" style="5" bestFit="1" customWidth="1"/>
    <col min="8961" max="9201" width="9.140625" style="5"/>
    <col min="9202" max="9202" width="5" style="5" bestFit="1" customWidth="1"/>
    <col min="9203" max="9203" width="46.7109375" style="5" bestFit="1" customWidth="1"/>
    <col min="9204" max="9204" width="9.7109375" style="5" customWidth="1"/>
    <col min="9205" max="9205" width="10.5703125" style="5" bestFit="1" customWidth="1"/>
    <col min="9206" max="9206" width="9.7109375" style="5" customWidth="1"/>
    <col min="9207" max="9208" width="10.5703125" style="5" bestFit="1" customWidth="1"/>
    <col min="9209" max="9209" width="9.140625" style="5"/>
    <col min="9210" max="9210" width="11.85546875" style="5" customWidth="1"/>
    <col min="9211" max="9211" width="12" style="5" bestFit="1" customWidth="1"/>
    <col min="9212" max="9212" width="9.140625" style="5"/>
    <col min="9213" max="9213" width="10.28515625" style="5" bestFit="1" customWidth="1"/>
    <col min="9214" max="9214" width="10.5703125" style="5" bestFit="1" customWidth="1"/>
    <col min="9215" max="9215" width="9.140625" style="5"/>
    <col min="9216" max="9216" width="9.85546875" style="5" bestFit="1" customWidth="1"/>
    <col min="9217" max="9457" width="9.140625" style="5"/>
    <col min="9458" max="9458" width="5" style="5" bestFit="1" customWidth="1"/>
    <col min="9459" max="9459" width="46.7109375" style="5" bestFit="1" customWidth="1"/>
    <col min="9460" max="9460" width="9.7109375" style="5" customWidth="1"/>
    <col min="9461" max="9461" width="10.5703125" style="5" bestFit="1" customWidth="1"/>
    <col min="9462" max="9462" width="9.7109375" style="5" customWidth="1"/>
    <col min="9463" max="9464" width="10.5703125" style="5" bestFit="1" customWidth="1"/>
    <col min="9465" max="9465" width="9.140625" style="5"/>
    <col min="9466" max="9466" width="11.85546875" style="5" customWidth="1"/>
    <col min="9467" max="9467" width="12" style="5" bestFit="1" customWidth="1"/>
    <col min="9468" max="9468" width="9.140625" style="5"/>
    <col min="9469" max="9469" width="10.28515625" style="5" bestFit="1" customWidth="1"/>
    <col min="9470" max="9470" width="10.5703125" style="5" bestFit="1" customWidth="1"/>
    <col min="9471" max="9471" width="9.140625" style="5"/>
    <col min="9472" max="9472" width="9.85546875" style="5" bestFit="1" customWidth="1"/>
    <col min="9473" max="9713" width="9.140625" style="5"/>
    <col min="9714" max="9714" width="5" style="5" bestFit="1" customWidth="1"/>
    <col min="9715" max="9715" width="46.7109375" style="5" bestFit="1" customWidth="1"/>
    <col min="9716" max="9716" width="9.7109375" style="5" customWidth="1"/>
    <col min="9717" max="9717" width="10.5703125" style="5" bestFit="1" customWidth="1"/>
    <col min="9718" max="9718" width="9.7109375" style="5" customWidth="1"/>
    <col min="9719" max="9720" width="10.5703125" style="5" bestFit="1" customWidth="1"/>
    <col min="9721" max="9721" width="9.140625" style="5"/>
    <col min="9722" max="9722" width="11.85546875" style="5" customWidth="1"/>
    <col min="9723" max="9723" width="12" style="5" bestFit="1" customWidth="1"/>
    <col min="9724" max="9724" width="9.140625" style="5"/>
    <col min="9725" max="9725" width="10.28515625" style="5" bestFit="1" customWidth="1"/>
    <col min="9726" max="9726" width="10.5703125" style="5" bestFit="1" customWidth="1"/>
    <col min="9727" max="9727" width="9.140625" style="5"/>
    <col min="9728" max="9728" width="9.85546875" style="5" bestFit="1" customWidth="1"/>
    <col min="9729" max="9969" width="9.140625" style="5"/>
    <col min="9970" max="9970" width="5" style="5" bestFit="1" customWidth="1"/>
    <col min="9971" max="9971" width="46.7109375" style="5" bestFit="1" customWidth="1"/>
    <col min="9972" max="9972" width="9.7109375" style="5" customWidth="1"/>
    <col min="9973" max="9973" width="10.5703125" style="5" bestFit="1" customWidth="1"/>
    <col min="9974" max="9974" width="9.7109375" style="5" customWidth="1"/>
    <col min="9975" max="9976" width="10.5703125" style="5" bestFit="1" customWidth="1"/>
    <col min="9977" max="9977" width="9.140625" style="5"/>
    <col min="9978" max="9978" width="11.85546875" style="5" customWidth="1"/>
    <col min="9979" max="9979" width="12" style="5" bestFit="1" customWidth="1"/>
    <col min="9980" max="9980" width="9.140625" style="5"/>
    <col min="9981" max="9981" width="10.28515625" style="5" bestFit="1" customWidth="1"/>
    <col min="9982" max="9982" width="10.5703125" style="5" bestFit="1" customWidth="1"/>
    <col min="9983" max="9983" width="9.140625" style="5"/>
    <col min="9984" max="9984" width="9.85546875" style="5" bestFit="1" customWidth="1"/>
    <col min="9985" max="10225" width="9.140625" style="5"/>
    <col min="10226" max="10226" width="5" style="5" bestFit="1" customWidth="1"/>
    <col min="10227" max="10227" width="46.7109375" style="5" bestFit="1" customWidth="1"/>
    <col min="10228" max="10228" width="9.7109375" style="5" customWidth="1"/>
    <col min="10229" max="10229" width="10.5703125" style="5" bestFit="1" customWidth="1"/>
    <col min="10230" max="10230" width="9.7109375" style="5" customWidth="1"/>
    <col min="10231" max="10232" width="10.5703125" style="5" bestFit="1" customWidth="1"/>
    <col min="10233" max="10233" width="9.140625" style="5"/>
    <col min="10234" max="10234" width="11.85546875" style="5" customWidth="1"/>
    <col min="10235" max="10235" width="12" style="5" bestFit="1" customWidth="1"/>
    <col min="10236" max="10236" width="9.140625" style="5"/>
    <col min="10237" max="10237" width="10.28515625" style="5" bestFit="1" customWidth="1"/>
    <col min="10238" max="10238" width="10.5703125" style="5" bestFit="1" customWidth="1"/>
    <col min="10239" max="10239" width="9.140625" style="5"/>
    <col min="10240" max="10240" width="9.85546875" style="5" bestFit="1" customWidth="1"/>
    <col min="10241" max="10481" width="9.140625" style="5"/>
    <col min="10482" max="10482" width="5" style="5" bestFit="1" customWidth="1"/>
    <col min="10483" max="10483" width="46.7109375" style="5" bestFit="1" customWidth="1"/>
    <col min="10484" max="10484" width="9.7109375" style="5" customWidth="1"/>
    <col min="10485" max="10485" width="10.5703125" style="5" bestFit="1" customWidth="1"/>
    <col min="10486" max="10486" width="9.7109375" style="5" customWidth="1"/>
    <col min="10487" max="10488" width="10.5703125" style="5" bestFit="1" customWidth="1"/>
    <col min="10489" max="10489" width="9.140625" style="5"/>
    <col min="10490" max="10490" width="11.85546875" style="5" customWidth="1"/>
    <col min="10491" max="10491" width="12" style="5" bestFit="1" customWidth="1"/>
    <col min="10492" max="10492" width="9.140625" style="5"/>
    <col min="10493" max="10493" width="10.28515625" style="5" bestFit="1" customWidth="1"/>
    <col min="10494" max="10494" width="10.5703125" style="5" bestFit="1" customWidth="1"/>
    <col min="10495" max="10495" width="9.140625" style="5"/>
    <col min="10496" max="10496" width="9.85546875" style="5" bestFit="1" customWidth="1"/>
    <col min="10497" max="10737" width="9.140625" style="5"/>
    <col min="10738" max="10738" width="5" style="5" bestFit="1" customWidth="1"/>
    <col min="10739" max="10739" width="46.7109375" style="5" bestFit="1" customWidth="1"/>
    <col min="10740" max="10740" width="9.7109375" style="5" customWidth="1"/>
    <col min="10741" max="10741" width="10.5703125" style="5" bestFit="1" customWidth="1"/>
    <col min="10742" max="10742" width="9.7109375" style="5" customWidth="1"/>
    <col min="10743" max="10744" width="10.5703125" style="5" bestFit="1" customWidth="1"/>
    <col min="10745" max="10745" width="9.140625" style="5"/>
    <col min="10746" max="10746" width="11.85546875" style="5" customWidth="1"/>
    <col min="10747" max="10747" width="12" style="5" bestFit="1" customWidth="1"/>
    <col min="10748" max="10748" width="9.140625" style="5"/>
    <col min="10749" max="10749" width="10.28515625" style="5" bestFit="1" customWidth="1"/>
    <col min="10750" max="10750" width="10.5703125" style="5" bestFit="1" customWidth="1"/>
    <col min="10751" max="10751" width="9.140625" style="5"/>
    <col min="10752" max="10752" width="9.85546875" style="5" bestFit="1" customWidth="1"/>
    <col min="10753" max="10993" width="9.140625" style="5"/>
    <col min="10994" max="10994" width="5" style="5" bestFit="1" customWidth="1"/>
    <col min="10995" max="10995" width="46.7109375" style="5" bestFit="1" customWidth="1"/>
    <col min="10996" max="10996" width="9.7109375" style="5" customWidth="1"/>
    <col min="10997" max="10997" width="10.5703125" style="5" bestFit="1" customWidth="1"/>
    <col min="10998" max="10998" width="9.7109375" style="5" customWidth="1"/>
    <col min="10999" max="11000" width="10.5703125" style="5" bestFit="1" customWidth="1"/>
    <col min="11001" max="11001" width="9.140625" style="5"/>
    <col min="11002" max="11002" width="11.85546875" style="5" customWidth="1"/>
    <col min="11003" max="11003" width="12" style="5" bestFit="1" customWidth="1"/>
    <col min="11004" max="11004" width="9.140625" style="5"/>
    <col min="11005" max="11005" width="10.28515625" style="5" bestFit="1" customWidth="1"/>
    <col min="11006" max="11006" width="10.5703125" style="5" bestFit="1" customWidth="1"/>
    <col min="11007" max="11007" width="9.140625" style="5"/>
    <col min="11008" max="11008" width="9.85546875" style="5" bestFit="1" customWidth="1"/>
    <col min="11009" max="11249" width="9.140625" style="5"/>
    <col min="11250" max="11250" width="5" style="5" bestFit="1" customWidth="1"/>
    <col min="11251" max="11251" width="46.7109375" style="5" bestFit="1" customWidth="1"/>
    <col min="11252" max="11252" width="9.7109375" style="5" customWidth="1"/>
    <col min="11253" max="11253" width="10.5703125" style="5" bestFit="1" customWidth="1"/>
    <col min="11254" max="11254" width="9.7109375" style="5" customWidth="1"/>
    <col min="11255" max="11256" width="10.5703125" style="5" bestFit="1" customWidth="1"/>
    <col min="11257" max="11257" width="9.140625" style="5"/>
    <col min="11258" max="11258" width="11.85546875" style="5" customWidth="1"/>
    <col min="11259" max="11259" width="12" style="5" bestFit="1" customWidth="1"/>
    <col min="11260" max="11260" width="9.140625" style="5"/>
    <col min="11261" max="11261" width="10.28515625" style="5" bestFit="1" customWidth="1"/>
    <col min="11262" max="11262" width="10.5703125" style="5" bestFit="1" customWidth="1"/>
    <col min="11263" max="11263" width="9.140625" style="5"/>
    <col min="11264" max="11264" width="9.85546875" style="5" bestFit="1" customWidth="1"/>
    <col min="11265" max="11505" width="9.140625" style="5"/>
    <col min="11506" max="11506" width="5" style="5" bestFit="1" customWidth="1"/>
    <col min="11507" max="11507" width="46.7109375" style="5" bestFit="1" customWidth="1"/>
    <col min="11508" max="11508" width="9.7109375" style="5" customWidth="1"/>
    <col min="11509" max="11509" width="10.5703125" style="5" bestFit="1" customWidth="1"/>
    <col min="11510" max="11510" width="9.7109375" style="5" customWidth="1"/>
    <col min="11511" max="11512" width="10.5703125" style="5" bestFit="1" customWidth="1"/>
    <col min="11513" max="11513" width="9.140625" style="5"/>
    <col min="11514" max="11514" width="11.85546875" style="5" customWidth="1"/>
    <col min="11515" max="11515" width="12" style="5" bestFit="1" customWidth="1"/>
    <col min="11516" max="11516" width="9.140625" style="5"/>
    <col min="11517" max="11517" width="10.28515625" style="5" bestFit="1" customWidth="1"/>
    <col min="11518" max="11518" width="10.5703125" style="5" bestFit="1" customWidth="1"/>
    <col min="11519" max="11519" width="9.140625" style="5"/>
    <col min="11520" max="11520" width="9.85546875" style="5" bestFit="1" customWidth="1"/>
    <col min="11521" max="11761" width="9.140625" style="5"/>
    <col min="11762" max="11762" width="5" style="5" bestFit="1" customWidth="1"/>
    <col min="11763" max="11763" width="46.7109375" style="5" bestFit="1" customWidth="1"/>
    <col min="11764" max="11764" width="9.7109375" style="5" customWidth="1"/>
    <col min="11765" max="11765" width="10.5703125" style="5" bestFit="1" customWidth="1"/>
    <col min="11766" max="11766" width="9.7109375" style="5" customWidth="1"/>
    <col min="11767" max="11768" width="10.5703125" style="5" bestFit="1" customWidth="1"/>
    <col min="11769" max="11769" width="9.140625" style="5"/>
    <col min="11770" max="11770" width="11.85546875" style="5" customWidth="1"/>
    <col min="11771" max="11771" width="12" style="5" bestFit="1" customWidth="1"/>
    <col min="11772" max="11772" width="9.140625" style="5"/>
    <col min="11773" max="11773" width="10.28515625" style="5" bestFit="1" customWidth="1"/>
    <col min="11774" max="11774" width="10.5703125" style="5" bestFit="1" customWidth="1"/>
    <col min="11775" max="11775" width="9.140625" style="5"/>
    <col min="11776" max="11776" width="9.85546875" style="5" bestFit="1" customWidth="1"/>
    <col min="11777" max="12017" width="9.140625" style="5"/>
    <col min="12018" max="12018" width="5" style="5" bestFit="1" customWidth="1"/>
    <col min="12019" max="12019" width="46.7109375" style="5" bestFit="1" customWidth="1"/>
    <col min="12020" max="12020" width="9.7109375" style="5" customWidth="1"/>
    <col min="12021" max="12021" width="10.5703125" style="5" bestFit="1" customWidth="1"/>
    <col min="12022" max="12022" width="9.7109375" style="5" customWidth="1"/>
    <col min="12023" max="12024" width="10.5703125" style="5" bestFit="1" customWidth="1"/>
    <col min="12025" max="12025" width="9.140625" style="5"/>
    <col min="12026" max="12026" width="11.85546875" style="5" customWidth="1"/>
    <col min="12027" max="12027" width="12" style="5" bestFit="1" customWidth="1"/>
    <col min="12028" max="12028" width="9.140625" style="5"/>
    <col min="12029" max="12029" width="10.28515625" style="5" bestFit="1" customWidth="1"/>
    <col min="12030" max="12030" width="10.5703125" style="5" bestFit="1" customWidth="1"/>
    <col min="12031" max="12031" width="9.140625" style="5"/>
    <col min="12032" max="12032" width="9.85546875" style="5" bestFit="1" customWidth="1"/>
    <col min="12033" max="12273" width="9.140625" style="5"/>
    <col min="12274" max="12274" width="5" style="5" bestFit="1" customWidth="1"/>
    <col min="12275" max="12275" width="46.7109375" style="5" bestFit="1" customWidth="1"/>
    <col min="12276" max="12276" width="9.7109375" style="5" customWidth="1"/>
    <col min="12277" max="12277" width="10.5703125" style="5" bestFit="1" customWidth="1"/>
    <col min="12278" max="12278" width="9.7109375" style="5" customWidth="1"/>
    <col min="12279" max="12280" width="10.5703125" style="5" bestFit="1" customWidth="1"/>
    <col min="12281" max="12281" width="9.140625" style="5"/>
    <col min="12282" max="12282" width="11.85546875" style="5" customWidth="1"/>
    <col min="12283" max="12283" width="12" style="5" bestFit="1" customWidth="1"/>
    <col min="12284" max="12284" width="9.140625" style="5"/>
    <col min="12285" max="12285" width="10.28515625" style="5" bestFit="1" customWidth="1"/>
    <col min="12286" max="12286" width="10.5703125" style="5" bestFit="1" customWidth="1"/>
    <col min="12287" max="12287" width="9.140625" style="5"/>
    <col min="12288" max="12288" width="9.85546875" style="5" bestFit="1" customWidth="1"/>
    <col min="12289" max="12529" width="9.140625" style="5"/>
    <col min="12530" max="12530" width="5" style="5" bestFit="1" customWidth="1"/>
    <col min="12531" max="12531" width="46.7109375" style="5" bestFit="1" customWidth="1"/>
    <col min="12532" max="12532" width="9.7109375" style="5" customWidth="1"/>
    <col min="12533" max="12533" width="10.5703125" style="5" bestFit="1" customWidth="1"/>
    <col min="12534" max="12534" width="9.7109375" style="5" customWidth="1"/>
    <col min="12535" max="12536" width="10.5703125" style="5" bestFit="1" customWidth="1"/>
    <col min="12537" max="12537" width="9.140625" style="5"/>
    <col min="12538" max="12538" width="11.85546875" style="5" customWidth="1"/>
    <col min="12539" max="12539" width="12" style="5" bestFit="1" customWidth="1"/>
    <col min="12540" max="12540" width="9.140625" style="5"/>
    <col min="12541" max="12541" width="10.28515625" style="5" bestFit="1" customWidth="1"/>
    <col min="12542" max="12542" width="10.5703125" style="5" bestFit="1" customWidth="1"/>
    <col min="12543" max="12543" width="9.140625" style="5"/>
    <col min="12544" max="12544" width="9.85546875" style="5" bestFit="1" customWidth="1"/>
    <col min="12545" max="12785" width="9.140625" style="5"/>
    <col min="12786" max="12786" width="5" style="5" bestFit="1" customWidth="1"/>
    <col min="12787" max="12787" width="46.7109375" style="5" bestFit="1" customWidth="1"/>
    <col min="12788" max="12788" width="9.7109375" style="5" customWidth="1"/>
    <col min="12789" max="12789" width="10.5703125" style="5" bestFit="1" customWidth="1"/>
    <col min="12790" max="12790" width="9.7109375" style="5" customWidth="1"/>
    <col min="12791" max="12792" width="10.5703125" style="5" bestFit="1" customWidth="1"/>
    <col min="12793" max="12793" width="9.140625" style="5"/>
    <col min="12794" max="12794" width="11.85546875" style="5" customWidth="1"/>
    <col min="12795" max="12795" width="12" style="5" bestFit="1" customWidth="1"/>
    <col min="12796" max="12796" width="9.140625" style="5"/>
    <col min="12797" max="12797" width="10.28515625" style="5" bestFit="1" customWidth="1"/>
    <col min="12798" max="12798" width="10.5703125" style="5" bestFit="1" customWidth="1"/>
    <col min="12799" max="12799" width="9.140625" style="5"/>
    <col min="12800" max="12800" width="9.85546875" style="5" bestFit="1" customWidth="1"/>
    <col min="12801" max="13041" width="9.140625" style="5"/>
    <col min="13042" max="13042" width="5" style="5" bestFit="1" customWidth="1"/>
    <col min="13043" max="13043" width="46.7109375" style="5" bestFit="1" customWidth="1"/>
    <col min="13044" max="13044" width="9.7109375" style="5" customWidth="1"/>
    <col min="13045" max="13045" width="10.5703125" style="5" bestFit="1" customWidth="1"/>
    <col min="13046" max="13046" width="9.7109375" style="5" customWidth="1"/>
    <col min="13047" max="13048" width="10.5703125" style="5" bestFit="1" customWidth="1"/>
    <col min="13049" max="13049" width="9.140625" style="5"/>
    <col min="13050" max="13050" width="11.85546875" style="5" customWidth="1"/>
    <col min="13051" max="13051" width="12" style="5" bestFit="1" customWidth="1"/>
    <col min="13052" max="13052" width="9.140625" style="5"/>
    <col min="13053" max="13053" width="10.28515625" style="5" bestFit="1" customWidth="1"/>
    <col min="13054" max="13054" width="10.5703125" style="5" bestFit="1" customWidth="1"/>
    <col min="13055" max="13055" width="9.140625" style="5"/>
    <col min="13056" max="13056" width="9.85546875" style="5" bestFit="1" customWidth="1"/>
    <col min="13057" max="13297" width="9.140625" style="5"/>
    <col min="13298" max="13298" width="5" style="5" bestFit="1" customWidth="1"/>
    <col min="13299" max="13299" width="46.7109375" style="5" bestFit="1" customWidth="1"/>
    <col min="13300" max="13300" width="9.7109375" style="5" customWidth="1"/>
    <col min="13301" max="13301" width="10.5703125" style="5" bestFit="1" customWidth="1"/>
    <col min="13302" max="13302" width="9.7109375" style="5" customWidth="1"/>
    <col min="13303" max="13304" width="10.5703125" style="5" bestFit="1" customWidth="1"/>
    <col min="13305" max="13305" width="9.140625" style="5"/>
    <col min="13306" max="13306" width="11.85546875" style="5" customWidth="1"/>
    <col min="13307" max="13307" width="12" style="5" bestFit="1" customWidth="1"/>
    <col min="13308" max="13308" width="9.140625" style="5"/>
    <col min="13309" max="13309" width="10.28515625" style="5" bestFit="1" customWidth="1"/>
    <col min="13310" max="13310" width="10.5703125" style="5" bestFit="1" customWidth="1"/>
    <col min="13311" max="13311" width="9.140625" style="5"/>
    <col min="13312" max="13312" width="9.85546875" style="5" bestFit="1" customWidth="1"/>
    <col min="13313" max="13553" width="9.140625" style="5"/>
    <col min="13554" max="13554" width="5" style="5" bestFit="1" customWidth="1"/>
    <col min="13555" max="13555" width="46.7109375" style="5" bestFit="1" customWidth="1"/>
    <col min="13556" max="13556" width="9.7109375" style="5" customWidth="1"/>
    <col min="13557" max="13557" width="10.5703125" style="5" bestFit="1" customWidth="1"/>
    <col min="13558" max="13558" width="9.7109375" style="5" customWidth="1"/>
    <col min="13559" max="13560" width="10.5703125" style="5" bestFit="1" customWidth="1"/>
    <col min="13561" max="13561" width="9.140625" style="5"/>
    <col min="13562" max="13562" width="11.85546875" style="5" customWidth="1"/>
    <col min="13563" max="13563" width="12" style="5" bestFit="1" customWidth="1"/>
    <col min="13564" max="13564" width="9.140625" style="5"/>
    <col min="13565" max="13565" width="10.28515625" style="5" bestFit="1" customWidth="1"/>
    <col min="13566" max="13566" width="10.5703125" style="5" bestFit="1" customWidth="1"/>
    <col min="13567" max="13567" width="9.140625" style="5"/>
    <col min="13568" max="13568" width="9.85546875" style="5" bestFit="1" customWidth="1"/>
    <col min="13569" max="13809" width="9.140625" style="5"/>
    <col min="13810" max="13810" width="5" style="5" bestFit="1" customWidth="1"/>
    <col min="13811" max="13811" width="46.7109375" style="5" bestFit="1" customWidth="1"/>
    <col min="13812" max="13812" width="9.7109375" style="5" customWidth="1"/>
    <col min="13813" max="13813" width="10.5703125" style="5" bestFit="1" customWidth="1"/>
    <col min="13814" max="13814" width="9.7109375" style="5" customWidth="1"/>
    <col min="13815" max="13816" width="10.5703125" style="5" bestFit="1" customWidth="1"/>
    <col min="13817" max="13817" width="9.140625" style="5"/>
    <col min="13818" max="13818" width="11.85546875" style="5" customWidth="1"/>
    <col min="13819" max="13819" width="12" style="5" bestFit="1" customWidth="1"/>
    <col min="13820" max="13820" width="9.140625" style="5"/>
    <col min="13821" max="13821" width="10.28515625" style="5" bestFit="1" customWidth="1"/>
    <col min="13822" max="13822" width="10.5703125" style="5" bestFit="1" customWidth="1"/>
    <col min="13823" max="13823" width="9.140625" style="5"/>
    <col min="13824" max="13824" width="9.85546875" style="5" bestFit="1" customWidth="1"/>
    <col min="13825" max="14065" width="9.140625" style="5"/>
    <col min="14066" max="14066" width="5" style="5" bestFit="1" customWidth="1"/>
    <col min="14067" max="14067" width="46.7109375" style="5" bestFit="1" customWidth="1"/>
    <col min="14068" max="14068" width="9.7109375" style="5" customWidth="1"/>
    <col min="14069" max="14069" width="10.5703125" style="5" bestFit="1" customWidth="1"/>
    <col min="14070" max="14070" width="9.7109375" style="5" customWidth="1"/>
    <col min="14071" max="14072" width="10.5703125" style="5" bestFit="1" customWidth="1"/>
    <col min="14073" max="14073" width="9.140625" style="5"/>
    <col min="14074" max="14074" width="11.85546875" style="5" customWidth="1"/>
    <col min="14075" max="14075" width="12" style="5" bestFit="1" customWidth="1"/>
    <col min="14076" max="14076" width="9.140625" style="5"/>
    <col min="14077" max="14077" width="10.28515625" style="5" bestFit="1" customWidth="1"/>
    <col min="14078" max="14078" width="10.5703125" style="5" bestFit="1" customWidth="1"/>
    <col min="14079" max="14079" width="9.140625" style="5"/>
    <col min="14080" max="14080" width="9.85546875" style="5" bestFit="1" customWidth="1"/>
    <col min="14081" max="14321" width="9.140625" style="5"/>
    <col min="14322" max="14322" width="5" style="5" bestFit="1" customWidth="1"/>
    <col min="14323" max="14323" width="46.7109375" style="5" bestFit="1" customWidth="1"/>
    <col min="14324" max="14324" width="9.7109375" style="5" customWidth="1"/>
    <col min="14325" max="14325" width="10.5703125" style="5" bestFit="1" customWidth="1"/>
    <col min="14326" max="14326" width="9.7109375" style="5" customWidth="1"/>
    <col min="14327" max="14328" width="10.5703125" style="5" bestFit="1" customWidth="1"/>
    <col min="14329" max="14329" width="9.140625" style="5"/>
    <col min="14330" max="14330" width="11.85546875" style="5" customWidth="1"/>
    <col min="14331" max="14331" width="12" style="5" bestFit="1" customWidth="1"/>
    <col min="14332" max="14332" width="9.140625" style="5"/>
    <col min="14333" max="14333" width="10.28515625" style="5" bestFit="1" customWidth="1"/>
    <col min="14334" max="14334" width="10.5703125" style="5" bestFit="1" customWidth="1"/>
    <col min="14335" max="14335" width="9.140625" style="5"/>
    <col min="14336" max="14336" width="9.85546875" style="5" bestFit="1" customWidth="1"/>
    <col min="14337" max="14577" width="9.140625" style="5"/>
    <col min="14578" max="14578" width="5" style="5" bestFit="1" customWidth="1"/>
    <col min="14579" max="14579" width="46.7109375" style="5" bestFit="1" customWidth="1"/>
    <col min="14580" max="14580" width="9.7109375" style="5" customWidth="1"/>
    <col min="14581" max="14581" width="10.5703125" style="5" bestFit="1" customWidth="1"/>
    <col min="14582" max="14582" width="9.7109375" style="5" customWidth="1"/>
    <col min="14583" max="14584" width="10.5703125" style="5" bestFit="1" customWidth="1"/>
    <col min="14585" max="14585" width="9.140625" style="5"/>
    <col min="14586" max="14586" width="11.85546875" style="5" customWidth="1"/>
    <col min="14587" max="14587" width="12" style="5" bestFit="1" customWidth="1"/>
    <col min="14588" max="14588" width="9.140625" style="5"/>
    <col min="14589" max="14589" width="10.28515625" style="5" bestFit="1" customWidth="1"/>
    <col min="14590" max="14590" width="10.5703125" style="5" bestFit="1" customWidth="1"/>
    <col min="14591" max="14591" width="9.140625" style="5"/>
    <col min="14592" max="14592" width="9.85546875" style="5" bestFit="1" customWidth="1"/>
    <col min="14593" max="14833" width="9.140625" style="5"/>
    <col min="14834" max="14834" width="5" style="5" bestFit="1" customWidth="1"/>
    <col min="14835" max="14835" width="46.7109375" style="5" bestFit="1" customWidth="1"/>
    <col min="14836" max="14836" width="9.7109375" style="5" customWidth="1"/>
    <col min="14837" max="14837" width="10.5703125" style="5" bestFit="1" customWidth="1"/>
    <col min="14838" max="14838" width="9.7109375" style="5" customWidth="1"/>
    <col min="14839" max="14840" width="10.5703125" style="5" bestFit="1" customWidth="1"/>
    <col min="14841" max="14841" width="9.140625" style="5"/>
    <col min="14842" max="14842" width="11.85546875" style="5" customWidth="1"/>
    <col min="14843" max="14843" width="12" style="5" bestFit="1" customWidth="1"/>
    <col min="14844" max="14844" width="9.140625" style="5"/>
    <col min="14845" max="14845" width="10.28515625" style="5" bestFit="1" customWidth="1"/>
    <col min="14846" max="14846" width="10.5703125" style="5" bestFit="1" customWidth="1"/>
    <col min="14847" max="14847" width="9.140625" style="5"/>
    <col min="14848" max="14848" width="9.85546875" style="5" bestFit="1" customWidth="1"/>
    <col min="14849" max="15089" width="9.140625" style="5"/>
    <col min="15090" max="15090" width="5" style="5" bestFit="1" customWidth="1"/>
    <col min="15091" max="15091" width="46.7109375" style="5" bestFit="1" customWidth="1"/>
    <col min="15092" max="15092" width="9.7109375" style="5" customWidth="1"/>
    <col min="15093" max="15093" width="10.5703125" style="5" bestFit="1" customWidth="1"/>
    <col min="15094" max="15094" width="9.7109375" style="5" customWidth="1"/>
    <col min="15095" max="15096" width="10.5703125" style="5" bestFit="1" customWidth="1"/>
    <col min="15097" max="15097" width="9.140625" style="5"/>
    <col min="15098" max="15098" width="11.85546875" style="5" customWidth="1"/>
    <col min="15099" max="15099" width="12" style="5" bestFit="1" customWidth="1"/>
    <col min="15100" max="15100" width="9.140625" style="5"/>
    <col min="15101" max="15101" width="10.28515625" style="5" bestFit="1" customWidth="1"/>
    <col min="15102" max="15102" width="10.5703125" style="5" bestFit="1" customWidth="1"/>
    <col min="15103" max="15103" width="9.140625" style="5"/>
    <col min="15104" max="15104" width="9.85546875" style="5" bestFit="1" customWidth="1"/>
    <col min="15105" max="15345" width="9.140625" style="5"/>
    <col min="15346" max="15346" width="5" style="5" bestFit="1" customWidth="1"/>
    <col min="15347" max="15347" width="46.7109375" style="5" bestFit="1" customWidth="1"/>
    <col min="15348" max="15348" width="9.7109375" style="5" customWidth="1"/>
    <col min="15349" max="15349" width="10.5703125" style="5" bestFit="1" customWidth="1"/>
    <col min="15350" max="15350" width="9.7109375" style="5" customWidth="1"/>
    <col min="15351" max="15352" width="10.5703125" style="5" bestFit="1" customWidth="1"/>
    <col min="15353" max="15353" width="9.140625" style="5"/>
    <col min="15354" max="15354" width="11.85546875" style="5" customWidth="1"/>
    <col min="15355" max="15355" width="12" style="5" bestFit="1" customWidth="1"/>
    <col min="15356" max="15356" width="9.140625" style="5"/>
    <col min="15357" max="15357" width="10.28515625" style="5" bestFit="1" customWidth="1"/>
    <col min="15358" max="15358" width="10.5703125" style="5" bestFit="1" customWidth="1"/>
    <col min="15359" max="15359" width="9.140625" style="5"/>
    <col min="15360" max="15360" width="9.85546875" style="5" bestFit="1" customWidth="1"/>
    <col min="15361" max="15601" width="9.140625" style="5"/>
    <col min="15602" max="15602" width="5" style="5" bestFit="1" customWidth="1"/>
    <col min="15603" max="15603" width="46.7109375" style="5" bestFit="1" customWidth="1"/>
    <col min="15604" max="15604" width="9.7109375" style="5" customWidth="1"/>
    <col min="15605" max="15605" width="10.5703125" style="5" bestFit="1" customWidth="1"/>
    <col min="15606" max="15606" width="9.7109375" style="5" customWidth="1"/>
    <col min="15607" max="15608" width="10.5703125" style="5" bestFit="1" customWidth="1"/>
    <col min="15609" max="15609" width="9.140625" style="5"/>
    <col min="15610" max="15610" width="11.85546875" style="5" customWidth="1"/>
    <col min="15611" max="15611" width="12" style="5" bestFit="1" customWidth="1"/>
    <col min="15612" max="15612" width="9.140625" style="5"/>
    <col min="15613" max="15613" width="10.28515625" style="5" bestFit="1" customWidth="1"/>
    <col min="15614" max="15614" width="10.5703125" style="5" bestFit="1" customWidth="1"/>
    <col min="15615" max="15615" width="9.140625" style="5"/>
    <col min="15616" max="15616" width="9.85546875" style="5" bestFit="1" customWidth="1"/>
    <col min="15617" max="15857" width="9.140625" style="5"/>
    <col min="15858" max="15858" width="5" style="5" bestFit="1" customWidth="1"/>
    <col min="15859" max="15859" width="46.7109375" style="5" bestFit="1" customWidth="1"/>
    <col min="15860" max="15860" width="9.7109375" style="5" customWidth="1"/>
    <col min="15861" max="15861" width="10.5703125" style="5" bestFit="1" customWidth="1"/>
    <col min="15862" max="15862" width="9.7109375" style="5" customWidth="1"/>
    <col min="15863" max="15864" width="10.5703125" style="5" bestFit="1" customWidth="1"/>
    <col min="15865" max="15865" width="9.140625" style="5"/>
    <col min="15866" max="15866" width="11.85546875" style="5" customWidth="1"/>
    <col min="15867" max="15867" width="12" style="5" bestFit="1" customWidth="1"/>
    <col min="15868" max="15868" width="9.140625" style="5"/>
    <col min="15869" max="15869" width="10.28515625" style="5" bestFit="1" customWidth="1"/>
    <col min="15870" max="15870" width="10.5703125" style="5" bestFit="1" customWidth="1"/>
    <col min="15871" max="15871" width="9.140625" style="5"/>
    <col min="15872" max="15872" width="9.85546875" style="5" bestFit="1" customWidth="1"/>
    <col min="15873" max="16113" width="9.140625" style="5"/>
    <col min="16114" max="16114" width="5" style="5" bestFit="1" customWidth="1"/>
    <col min="16115" max="16115" width="46.7109375" style="5" bestFit="1" customWidth="1"/>
    <col min="16116" max="16116" width="9.7109375" style="5" customWidth="1"/>
    <col min="16117" max="16117" width="10.5703125" style="5" bestFit="1" customWidth="1"/>
    <col min="16118" max="16118" width="9.7109375" style="5" customWidth="1"/>
    <col min="16119" max="16120" width="10.5703125" style="5" bestFit="1" customWidth="1"/>
    <col min="16121" max="16121" width="9.140625" style="5"/>
    <col min="16122" max="16122" width="11.85546875" style="5" customWidth="1"/>
    <col min="16123" max="16123" width="12" style="5" bestFit="1" customWidth="1"/>
    <col min="16124" max="16124" width="9.140625" style="5"/>
    <col min="16125" max="16125" width="10.28515625" style="5" bestFit="1" customWidth="1"/>
    <col min="16126" max="16126" width="10.5703125" style="5" bestFit="1" customWidth="1"/>
    <col min="16127" max="16127" width="9.140625" style="5"/>
    <col min="16128" max="16128" width="9.85546875" style="5" bestFit="1" customWidth="1"/>
    <col min="16129" max="16384" width="9.140625" style="5"/>
  </cols>
  <sheetData>
    <row r="1" spans="1:34" x14ac:dyDescent="0.2">
      <c r="A1" s="5">
        <f>COUNT(A11:A49)</f>
        <v>22</v>
      </c>
      <c r="C1" s="61"/>
      <c r="M1" s="67" t="s">
        <v>154</v>
      </c>
      <c r="N1" s="67"/>
      <c r="O1" s="67"/>
      <c r="P1" s="67"/>
    </row>
    <row r="2" spans="1:34" x14ac:dyDescent="0.2">
      <c r="C2" s="61"/>
      <c r="L2" s="63"/>
      <c r="M2" s="66" t="s">
        <v>153</v>
      </c>
      <c r="N2" s="63"/>
      <c r="O2" s="63"/>
      <c r="P2" s="63"/>
      <c r="Q2" s="63"/>
      <c r="R2" s="63"/>
      <c r="S2" s="63"/>
      <c r="T2" s="63"/>
    </row>
    <row r="3" spans="1:34" x14ac:dyDescent="0.2">
      <c r="A3" s="119"/>
      <c r="B3" s="119"/>
      <c r="C3" s="119"/>
      <c r="D3" s="119"/>
      <c r="E3" s="119"/>
      <c r="F3" s="119"/>
      <c r="G3" s="119"/>
      <c r="H3" s="119"/>
      <c r="M3" s="66"/>
      <c r="N3" s="5">
        <v>15</v>
      </c>
      <c r="O3" s="63"/>
      <c r="P3" s="63" t="s">
        <v>243</v>
      </c>
      <c r="T3" s="5" t="s">
        <v>409</v>
      </c>
    </row>
    <row r="4" spans="1:34" x14ac:dyDescent="0.2">
      <c r="A4" s="119"/>
      <c r="B4" s="136"/>
      <c r="C4" s="119"/>
      <c r="D4" s="119"/>
      <c r="E4" s="119"/>
      <c r="F4" s="119"/>
      <c r="G4" s="119"/>
      <c r="H4" s="119"/>
      <c r="K4" s="5" t="s">
        <v>174</v>
      </c>
      <c r="M4" s="66"/>
      <c r="N4" s="63"/>
      <c r="O4" s="63"/>
      <c r="P4" s="63" t="s">
        <v>412</v>
      </c>
      <c r="Q4" s="32"/>
      <c r="R4" s="32"/>
      <c r="S4" s="32"/>
      <c r="T4" s="5" t="s">
        <v>410</v>
      </c>
      <c r="U4" s="5" t="s">
        <v>254</v>
      </c>
      <c r="V4" s="5" t="s">
        <v>396</v>
      </c>
      <c r="X4" s="5" t="s">
        <v>397</v>
      </c>
    </row>
    <row r="5" spans="1:34" x14ac:dyDescent="0.2">
      <c r="A5" s="119"/>
      <c r="B5" s="119"/>
      <c r="C5" s="119"/>
      <c r="D5" s="119"/>
      <c r="E5" s="119"/>
      <c r="F5" s="119"/>
      <c r="G5" s="119"/>
      <c r="H5" s="119"/>
      <c r="M5" s="66"/>
      <c r="N5" s="63"/>
      <c r="O5" s="63"/>
      <c r="P5" s="63"/>
      <c r="T5" s="91" t="s">
        <v>411</v>
      </c>
      <c r="Y5" s="5" t="s">
        <v>280</v>
      </c>
      <c r="AD5" s="5" t="s">
        <v>405</v>
      </c>
    </row>
    <row r="6" spans="1:34" x14ac:dyDescent="0.2">
      <c r="A6" s="119"/>
      <c r="B6" s="5" t="s">
        <v>156</v>
      </c>
      <c r="C6" s="137"/>
      <c r="D6" s="72">
        <f>D51-D42</f>
        <v>0</v>
      </c>
      <c r="E6" s="119"/>
      <c r="F6" s="119"/>
      <c r="G6" s="72">
        <f>G51-G42</f>
        <v>0</v>
      </c>
      <c r="H6" s="119"/>
      <c r="K6" s="5">
        <f>BS_PY_COL</f>
        <v>18</v>
      </c>
      <c r="M6" s="66"/>
      <c r="N6" s="63"/>
      <c r="O6" s="63"/>
      <c r="P6" s="140" t="str">
        <f>'TB Period'!T5</f>
        <v>TTB-EOY-JAN-15</v>
      </c>
      <c r="R6" s="140" t="str">
        <f>'TB Period'!V5</f>
        <v>TTB-YTD-JAN-16</v>
      </c>
      <c r="T6" s="77" t="str">
        <f>INDEX(BS_History,1,BS_OM_COL)</f>
        <v>BS-JAN-15</v>
      </c>
      <c r="U6" s="5" t="s">
        <v>169</v>
      </c>
      <c r="Z6" s="5" t="s">
        <v>402</v>
      </c>
      <c r="AA6" s="5" t="s">
        <v>255</v>
      </c>
    </row>
    <row r="7" spans="1:34" x14ac:dyDescent="0.2">
      <c r="A7" s="119"/>
      <c r="B7" s="119"/>
      <c r="C7" s="119"/>
      <c r="D7" s="119"/>
      <c r="E7" s="119"/>
      <c r="F7" s="119"/>
      <c r="G7" s="119"/>
      <c r="H7" s="119"/>
      <c r="M7" s="66"/>
      <c r="N7" s="63"/>
      <c r="O7" s="63"/>
      <c r="P7" s="32"/>
      <c r="U7" s="5" t="s">
        <v>380</v>
      </c>
      <c r="Z7" s="5" t="s">
        <v>403</v>
      </c>
      <c r="AA7" s="5" t="s">
        <v>404</v>
      </c>
      <c r="AE7" s="5" t="s">
        <v>279</v>
      </c>
    </row>
    <row r="8" spans="1:34" x14ac:dyDescent="0.2">
      <c r="A8" s="52"/>
      <c r="B8" s="27"/>
      <c r="C8" s="150" t="str">
        <f>Report_Month</f>
        <v>Jan 16</v>
      </c>
      <c r="D8" s="151"/>
      <c r="E8" s="27"/>
      <c r="F8" s="150" t="str">
        <f>'RPT MGT PnL'!D7</f>
        <v>Jan 15</v>
      </c>
      <c r="G8" s="151"/>
      <c r="H8" s="130"/>
      <c r="J8" s="74"/>
      <c r="K8" s="77" t="str">
        <f>INDEX(BS_History,1,K$6)</f>
        <v>BS-JAN-15</v>
      </c>
      <c r="M8" s="66"/>
      <c r="N8" s="63"/>
      <c r="O8" s="63"/>
      <c r="P8" s="91" t="s">
        <v>276</v>
      </c>
      <c r="Q8" s="91" t="s">
        <v>276</v>
      </c>
      <c r="R8" s="91" t="s">
        <v>1</v>
      </c>
      <c r="S8" s="91" t="s">
        <v>1</v>
      </c>
      <c r="U8" s="5" t="s">
        <v>381</v>
      </c>
      <c r="AC8" s="91" t="s">
        <v>276</v>
      </c>
      <c r="AD8" s="91" t="s">
        <v>1</v>
      </c>
    </row>
    <row r="9" spans="1:34" x14ac:dyDescent="0.2">
      <c r="A9" s="114" t="str">
        <f>IF(OpeningTBType="EOY","From End of Year ("&amp;OpeningPeriodName&amp;")","")</f>
        <v>From End of Year (JAN-15)</v>
      </c>
      <c r="B9" s="27"/>
      <c r="C9" s="29" t="s">
        <v>2</v>
      </c>
      <c r="D9" s="29" t="s">
        <v>2</v>
      </c>
      <c r="E9" s="27"/>
      <c r="F9" s="29" t="s">
        <v>2</v>
      </c>
      <c r="G9" s="29" t="s">
        <v>2</v>
      </c>
      <c r="H9" s="131"/>
      <c r="J9" s="29"/>
      <c r="M9" s="66"/>
      <c r="N9" s="63"/>
      <c r="O9" s="63"/>
      <c r="P9" s="5" t="s">
        <v>395</v>
      </c>
      <c r="R9" s="5" t="s">
        <v>395</v>
      </c>
      <c r="Z9" s="28"/>
      <c r="AA9" s="28"/>
      <c r="AE9" s="28">
        <f>AE10+PnL_OTD</f>
        <v>-1.3642420526593924E-10</v>
      </c>
    </row>
    <row r="10" spans="1:34" x14ac:dyDescent="0.2">
      <c r="A10" s="52"/>
      <c r="B10" s="27"/>
      <c r="C10" s="27"/>
      <c r="D10" s="27"/>
      <c r="E10" s="27"/>
      <c r="F10" s="27"/>
      <c r="G10" s="27"/>
      <c r="H10" s="132"/>
      <c r="J10" s="27"/>
      <c r="M10" s="66"/>
      <c r="N10" s="63"/>
      <c r="O10" s="63"/>
      <c r="P10" s="60">
        <f>SUM(P11:P49)</f>
        <v>0</v>
      </c>
      <c r="Q10" s="115"/>
      <c r="R10" s="60">
        <f>SUM(R11:R49)</f>
        <v>-1.7826096154749393E-10</v>
      </c>
      <c r="Z10" s="60">
        <f>SUM(Z11:Z49)</f>
        <v>0</v>
      </c>
      <c r="AA10" s="60">
        <f>SUM(AA11:AA49)</f>
        <v>5.8207660913467407E-11</v>
      </c>
      <c r="AC10" s="60">
        <f>SUM(AC11:AC49)</f>
        <v>0</v>
      </c>
      <c r="AD10" s="60">
        <f>SUM(AD11:AD49)</f>
        <v>8574.4700000000266</v>
      </c>
      <c r="AE10" s="60">
        <f>SUM(AE11:AE49)</f>
        <v>8574.4699999998556</v>
      </c>
    </row>
    <row r="11" spans="1:34" x14ac:dyDescent="0.2">
      <c r="A11" s="52">
        <v>10</v>
      </c>
      <c r="B11" s="30" t="s">
        <v>49</v>
      </c>
      <c r="C11" s="31"/>
      <c r="D11" s="53">
        <f>X11</f>
        <v>10613.540000000005</v>
      </c>
      <c r="E11" s="30"/>
      <c r="F11" s="32"/>
      <c r="G11" s="32">
        <f>K11</f>
        <v>9926</v>
      </c>
      <c r="H11" s="133"/>
      <c r="J11" s="32"/>
      <c r="K11" s="32">
        <f>VLOOKUP($A11,BS_History,K$6,FALSE)</f>
        <v>9926</v>
      </c>
      <c r="M11" s="66">
        <v>-1</v>
      </c>
      <c r="N11" s="12">
        <f>VLOOKUP($A11,TB_Period,$N$3,FALSE)</f>
        <v>-1</v>
      </c>
      <c r="O11" s="60">
        <f>M11-N11</f>
        <v>0</v>
      </c>
      <c r="P11" s="32">
        <f>VLOOKUP($A11,TB_Period,2,FALSE)</f>
        <v>-9926.0000000000036</v>
      </c>
      <c r="Q11" s="32">
        <f>P11*$M11</f>
        <v>9926.0000000000036</v>
      </c>
      <c r="R11" s="32">
        <f>VLOOKUP($A11,TB_Period,4,FALSE)</f>
        <v>-687.54</v>
      </c>
      <c r="S11" s="32">
        <f>R11*$M11</f>
        <v>687.54</v>
      </c>
      <c r="T11" s="32">
        <f>VLOOKUP($A11,BS_History,BS_OM_COL,FALSE)</f>
        <v>9926</v>
      </c>
      <c r="U11" s="99">
        <f>S11+T11-Q11</f>
        <v>687.53999999999724</v>
      </c>
      <c r="V11" s="138">
        <f>S11+Q11</f>
        <v>10613.540000000005</v>
      </c>
      <c r="X11" s="141">
        <f>IF(OpeningTBType="YTD",U11,IF(OpeningTBType="EOY",V11,"Unknown Opening period type"))</f>
        <v>10613.540000000005</v>
      </c>
      <c r="Y11" s="5">
        <v>1</v>
      </c>
      <c r="Z11" s="99">
        <f>D11*N11</f>
        <v>-10613.540000000005</v>
      </c>
      <c r="AA11" s="99">
        <f>T11*N11</f>
        <v>-9926</v>
      </c>
      <c r="AC11" s="32">
        <f>VLOOKUP($A11,TB_Period,2,FALSE)</f>
        <v>-9926.0000000000036</v>
      </c>
      <c r="AD11" s="32">
        <f>VLOOKUP($A11,TB_Period,4,FALSE)</f>
        <v>-687.54</v>
      </c>
      <c r="AE11" s="99">
        <f>AD11-AC11</f>
        <v>9238.4600000000028</v>
      </c>
      <c r="AF11" s="99">
        <f>AE11+Z11</f>
        <v>-1375.0800000000017</v>
      </c>
    </row>
    <row r="12" spans="1:34" x14ac:dyDescent="0.2">
      <c r="A12" s="52"/>
      <c r="B12" s="25"/>
      <c r="C12" s="33"/>
      <c r="D12" s="33"/>
      <c r="E12" s="25"/>
      <c r="F12" s="26"/>
      <c r="G12" s="26"/>
      <c r="H12" s="128"/>
      <c r="J12" s="26"/>
      <c r="K12" s="32"/>
      <c r="M12" s="66"/>
      <c r="N12" s="63"/>
      <c r="O12" s="63"/>
      <c r="P12" s="32"/>
      <c r="Q12" s="32"/>
      <c r="R12" s="32"/>
      <c r="S12" s="32"/>
      <c r="T12" s="32"/>
      <c r="V12" s="119"/>
      <c r="X12" s="141"/>
      <c r="Z12" s="99"/>
      <c r="AA12" s="99"/>
      <c r="AC12" s="32"/>
      <c r="AD12" s="32"/>
    </row>
    <row r="13" spans="1:34" x14ac:dyDescent="0.2">
      <c r="A13" s="52"/>
      <c r="B13" s="30" t="s">
        <v>50</v>
      </c>
      <c r="C13" s="31"/>
      <c r="D13" s="31"/>
      <c r="E13" s="30"/>
      <c r="F13" s="32"/>
      <c r="G13" s="32"/>
      <c r="H13" s="133"/>
      <c r="J13" s="32"/>
      <c r="K13" s="32"/>
      <c r="M13" s="66"/>
      <c r="N13" s="63"/>
      <c r="O13" s="63"/>
      <c r="P13" s="32"/>
      <c r="Q13" s="32"/>
      <c r="R13" s="32"/>
      <c r="S13" s="32"/>
      <c r="T13" s="32"/>
      <c r="V13" s="119"/>
      <c r="X13" s="141"/>
      <c r="Z13" s="99"/>
      <c r="AA13" s="99"/>
      <c r="AC13" s="32"/>
      <c r="AD13" s="32"/>
    </row>
    <row r="14" spans="1:34" x14ac:dyDescent="0.2">
      <c r="A14" s="52">
        <v>1001</v>
      </c>
      <c r="B14" s="25" t="s">
        <v>51</v>
      </c>
      <c r="C14" s="26">
        <f>X14</f>
        <v>264446.98</v>
      </c>
      <c r="D14" s="33"/>
      <c r="E14" s="25"/>
      <c r="F14" s="26">
        <f>K14</f>
        <v>364793.12</v>
      </c>
      <c r="G14" s="26"/>
      <c r="H14" s="128"/>
      <c r="J14" s="26"/>
      <c r="K14" s="32">
        <f t="shared" ref="K14:K24" si="0">VLOOKUP($A14,BS_History,K$6,FALSE)</f>
        <v>364793.12</v>
      </c>
      <c r="M14" s="66">
        <v>-1</v>
      </c>
      <c r="N14" s="12">
        <f>VLOOKUP($A14,TB_Period,$N$3,FALSE)</f>
        <v>-1</v>
      </c>
      <c r="O14" s="60">
        <f t="shared" ref="O14:O24" si="1">M14-N14</f>
        <v>0</v>
      </c>
      <c r="P14" s="65">
        <f t="shared" ref="P14:P24" si="2">VLOOKUP($A14,TB_Period,2,FALSE)</f>
        <v>-365591.23</v>
      </c>
      <c r="Q14" s="129">
        <f>P14*$M14</f>
        <v>365591.23</v>
      </c>
      <c r="R14" s="65">
        <f t="shared" ref="R14:R24" si="3">VLOOKUP($A14,TB_Period,4,FALSE)</f>
        <v>101144.25</v>
      </c>
      <c r="S14" s="65">
        <f>R14*$M14</f>
        <v>-101144.25</v>
      </c>
      <c r="T14" s="32">
        <f t="shared" ref="T14:T24" si="4">VLOOKUP($A14,BS_History,BS_OM_COL,FALSE)</f>
        <v>364793.12</v>
      </c>
      <c r="U14" s="99">
        <f t="shared" ref="U14:U24" si="5">S14+T14-Q14</f>
        <v>-101942.35999999999</v>
      </c>
      <c r="V14" s="138">
        <f t="shared" ref="V14:V24" si="6">S14+Q14</f>
        <v>264446.98</v>
      </c>
      <c r="X14" s="141">
        <f t="shared" ref="X14:X24" si="7">IF(OpeningTBType="YTD",U14,IF(OpeningTBType="EOY",V14,"Unknown Opening period type"))</f>
        <v>264446.98</v>
      </c>
      <c r="Y14" s="5">
        <v>1</v>
      </c>
      <c r="Z14" s="99">
        <f t="shared" ref="Z14:Z24" si="8">C14*N14</f>
        <v>-264446.98</v>
      </c>
      <c r="AA14" s="99">
        <f>T14*N14</f>
        <v>-364793.12</v>
      </c>
      <c r="AC14" s="65">
        <f t="shared" ref="AC14:AC24" si="9">VLOOKUP($A14,TB_Period,2,FALSE)</f>
        <v>-365591.23</v>
      </c>
      <c r="AD14" s="65">
        <f t="shared" ref="AD14:AD24" si="10">VLOOKUP($A14,TB_Period,4,FALSE)</f>
        <v>101144.25</v>
      </c>
      <c r="AE14" s="99">
        <f t="shared" ref="AE14:AE24" si="11">AD14-AC14</f>
        <v>466735.48</v>
      </c>
      <c r="AF14" s="99">
        <f t="shared" ref="AF14:AF24" si="12">AE14+Z14</f>
        <v>202288.5</v>
      </c>
      <c r="AH14" s="5">
        <v>364655.65</v>
      </c>
    </row>
    <row r="15" spans="1:34" x14ac:dyDescent="0.2">
      <c r="A15" s="52">
        <v>1100</v>
      </c>
      <c r="B15" s="25" t="s">
        <v>52</v>
      </c>
      <c r="C15" s="26">
        <f t="shared" ref="C15:C24" si="13">X15</f>
        <v>198455.58000000002</v>
      </c>
      <c r="D15" s="33"/>
      <c r="E15" s="25"/>
      <c r="F15" s="26">
        <f t="shared" ref="F15:F24" si="14">K15</f>
        <v>303456.80000000005</v>
      </c>
      <c r="G15" s="26"/>
      <c r="H15" s="128"/>
      <c r="J15" s="26"/>
      <c r="K15" s="32">
        <f t="shared" si="0"/>
        <v>303456.80000000005</v>
      </c>
      <c r="M15" s="66">
        <v>-1</v>
      </c>
      <c r="N15" s="12">
        <v>-1</v>
      </c>
      <c r="O15" s="60">
        <f t="shared" si="1"/>
        <v>0</v>
      </c>
      <c r="P15" s="65">
        <f t="shared" si="2"/>
        <v>-303463.66000000003</v>
      </c>
      <c r="Q15" s="129">
        <f t="shared" ref="Q15:Q24" si="15">P15*$M15</f>
        <v>303463.66000000003</v>
      </c>
      <c r="R15" s="65">
        <f t="shared" si="3"/>
        <v>105008.08</v>
      </c>
      <c r="S15" s="65">
        <f t="shared" ref="S15:S24" si="16">R15*$M15</f>
        <v>-105008.08</v>
      </c>
      <c r="T15" s="32">
        <f t="shared" si="4"/>
        <v>303456.80000000005</v>
      </c>
      <c r="U15" s="99">
        <f t="shared" si="5"/>
        <v>-105014.94</v>
      </c>
      <c r="V15" s="138">
        <f t="shared" si="6"/>
        <v>198455.58000000002</v>
      </c>
      <c r="X15" s="141">
        <f t="shared" si="7"/>
        <v>198455.58000000002</v>
      </c>
      <c r="Y15" s="5">
        <v>1</v>
      </c>
      <c r="Z15" s="99">
        <f t="shared" si="8"/>
        <v>-198455.58000000002</v>
      </c>
      <c r="AA15" s="99">
        <f t="shared" ref="AA15:AA24" si="17">T15*N15</f>
        <v>-303456.80000000005</v>
      </c>
      <c r="AC15" s="65">
        <f t="shared" si="9"/>
        <v>-303463.66000000003</v>
      </c>
      <c r="AD15" s="65">
        <f t="shared" si="10"/>
        <v>105008.08</v>
      </c>
      <c r="AE15" s="99">
        <f t="shared" si="11"/>
        <v>408471.74000000005</v>
      </c>
      <c r="AF15" s="99">
        <f t="shared" si="12"/>
        <v>210016.16000000003</v>
      </c>
      <c r="AH15" s="28">
        <f>AH14-V14</f>
        <v>100208.67000000004</v>
      </c>
    </row>
    <row r="16" spans="1:34" x14ac:dyDescent="0.2">
      <c r="A16" s="52">
        <v>1102</v>
      </c>
      <c r="B16" s="25" t="s">
        <v>53</v>
      </c>
      <c r="C16" s="26">
        <f t="shared" si="13"/>
        <v>0</v>
      </c>
      <c r="D16" s="33"/>
      <c r="E16" s="25"/>
      <c r="F16" s="26">
        <f t="shared" si="14"/>
        <v>0</v>
      </c>
      <c r="G16" s="26"/>
      <c r="H16" s="128"/>
      <c r="J16" s="26"/>
      <c r="K16" s="32">
        <f t="shared" si="0"/>
        <v>0</v>
      </c>
      <c r="M16" s="66">
        <v>-1</v>
      </c>
      <c r="N16" s="12">
        <f t="shared" ref="N16:N24" si="18">VLOOKUP($A16,TB_Period,$N$3,FALSE)</f>
        <v>-1</v>
      </c>
      <c r="O16" s="60">
        <f t="shared" si="1"/>
        <v>0</v>
      </c>
      <c r="P16" s="65">
        <f t="shared" si="2"/>
        <v>0</v>
      </c>
      <c r="Q16" s="129">
        <f t="shared" si="15"/>
        <v>0</v>
      </c>
      <c r="R16" s="65">
        <f t="shared" si="3"/>
        <v>0</v>
      </c>
      <c r="S16" s="65">
        <f t="shared" si="16"/>
        <v>0</v>
      </c>
      <c r="T16" s="32">
        <f t="shared" si="4"/>
        <v>0</v>
      </c>
      <c r="U16" s="99">
        <f t="shared" si="5"/>
        <v>0</v>
      </c>
      <c r="V16" s="138">
        <f t="shared" si="6"/>
        <v>0</v>
      </c>
      <c r="X16" s="141">
        <f t="shared" si="7"/>
        <v>0</v>
      </c>
      <c r="Y16" s="5">
        <v>1</v>
      </c>
      <c r="Z16" s="99">
        <f t="shared" si="8"/>
        <v>0</v>
      </c>
      <c r="AA16" s="99">
        <f t="shared" si="17"/>
        <v>0</v>
      </c>
      <c r="AC16" s="65">
        <f t="shared" si="9"/>
        <v>0</v>
      </c>
      <c r="AD16" s="65">
        <f t="shared" si="10"/>
        <v>0</v>
      </c>
      <c r="AE16" s="99">
        <f t="shared" si="11"/>
        <v>0</v>
      </c>
      <c r="AF16" s="99">
        <f t="shared" si="12"/>
        <v>0</v>
      </c>
    </row>
    <row r="17" spans="1:32" x14ac:dyDescent="0.2">
      <c r="A17" s="52">
        <v>1115</v>
      </c>
      <c r="B17" s="25" t="s">
        <v>54</v>
      </c>
      <c r="C17" s="26">
        <f t="shared" si="13"/>
        <v>67841.16</v>
      </c>
      <c r="D17" s="33"/>
      <c r="E17" s="25"/>
      <c r="F17" s="26">
        <f t="shared" si="14"/>
        <v>65539.72</v>
      </c>
      <c r="G17" s="26"/>
      <c r="H17" s="128"/>
      <c r="J17" s="26"/>
      <c r="K17" s="32">
        <f t="shared" si="0"/>
        <v>65539.72</v>
      </c>
      <c r="M17" s="66">
        <v>-1</v>
      </c>
      <c r="N17" s="12">
        <f t="shared" si="18"/>
        <v>-1</v>
      </c>
      <c r="O17" s="60">
        <f t="shared" si="1"/>
        <v>0</v>
      </c>
      <c r="P17" s="65">
        <f t="shared" si="2"/>
        <v>-65539.72</v>
      </c>
      <c r="Q17" s="129">
        <f t="shared" si="15"/>
        <v>65539.72</v>
      </c>
      <c r="R17" s="65">
        <f t="shared" si="3"/>
        <v>-2301.44</v>
      </c>
      <c r="S17" s="65">
        <f t="shared" si="16"/>
        <v>2301.44</v>
      </c>
      <c r="T17" s="32">
        <f t="shared" si="4"/>
        <v>65539.72</v>
      </c>
      <c r="U17" s="99">
        <f t="shared" si="5"/>
        <v>2301.4400000000023</v>
      </c>
      <c r="V17" s="138">
        <f t="shared" si="6"/>
        <v>67841.16</v>
      </c>
      <c r="X17" s="141">
        <f t="shared" si="7"/>
        <v>67841.16</v>
      </c>
      <c r="Y17" s="5">
        <v>1</v>
      </c>
      <c r="Z17" s="99">
        <f t="shared" si="8"/>
        <v>-67841.16</v>
      </c>
      <c r="AA17" s="99">
        <f t="shared" si="17"/>
        <v>-65539.72</v>
      </c>
      <c r="AC17" s="65">
        <f t="shared" si="9"/>
        <v>-65539.72</v>
      </c>
      <c r="AD17" s="65">
        <f t="shared" si="10"/>
        <v>-2301.44</v>
      </c>
      <c r="AE17" s="99">
        <f t="shared" si="11"/>
        <v>63238.28</v>
      </c>
      <c r="AF17" s="99">
        <f t="shared" si="12"/>
        <v>-4602.8800000000047</v>
      </c>
    </row>
    <row r="18" spans="1:32" x14ac:dyDescent="0.2">
      <c r="A18" s="52">
        <v>1103</v>
      </c>
      <c r="B18" s="25" t="s">
        <v>55</v>
      </c>
      <c r="C18" s="26">
        <f t="shared" si="13"/>
        <v>31566.000000000004</v>
      </c>
      <c r="D18" s="33"/>
      <c r="E18" s="25"/>
      <c r="F18" s="26">
        <f t="shared" si="14"/>
        <v>-30274.58</v>
      </c>
      <c r="G18" s="26"/>
      <c r="H18" s="128"/>
      <c r="J18" s="26"/>
      <c r="K18" s="32">
        <f t="shared" si="0"/>
        <v>-30274.58</v>
      </c>
      <c r="M18" s="66">
        <v>-1</v>
      </c>
      <c r="N18" s="12">
        <f t="shared" si="18"/>
        <v>-1</v>
      </c>
      <c r="O18" s="60">
        <f t="shared" si="1"/>
        <v>0</v>
      </c>
      <c r="P18" s="65">
        <f t="shared" si="2"/>
        <v>30274.579999999998</v>
      </c>
      <c r="Q18" s="129">
        <f t="shared" si="15"/>
        <v>-30274.579999999998</v>
      </c>
      <c r="R18" s="65">
        <f t="shared" si="3"/>
        <v>-61840.58</v>
      </c>
      <c r="S18" s="65">
        <f t="shared" si="16"/>
        <v>61840.58</v>
      </c>
      <c r="T18" s="32">
        <f t="shared" si="4"/>
        <v>-30274.58</v>
      </c>
      <c r="U18" s="99">
        <f t="shared" si="5"/>
        <v>61840.58</v>
      </c>
      <c r="V18" s="138">
        <f t="shared" si="6"/>
        <v>31566.000000000004</v>
      </c>
      <c r="X18" s="141">
        <f t="shared" si="7"/>
        <v>31566.000000000004</v>
      </c>
      <c r="Y18" s="5">
        <v>1</v>
      </c>
      <c r="Z18" s="99">
        <f t="shared" si="8"/>
        <v>-31566.000000000004</v>
      </c>
      <c r="AA18" s="99">
        <f t="shared" si="17"/>
        <v>30274.58</v>
      </c>
      <c r="AC18" s="65">
        <f t="shared" si="9"/>
        <v>30274.579999999998</v>
      </c>
      <c r="AD18" s="65">
        <f t="shared" si="10"/>
        <v>-61840.58</v>
      </c>
      <c r="AE18" s="99">
        <f t="shared" si="11"/>
        <v>-92115.16</v>
      </c>
      <c r="AF18" s="99">
        <f t="shared" si="12"/>
        <v>-123681.16</v>
      </c>
    </row>
    <row r="19" spans="1:32" x14ac:dyDescent="0.2">
      <c r="A19" s="52">
        <v>2105</v>
      </c>
      <c r="B19" s="25" t="s">
        <v>56</v>
      </c>
      <c r="C19" s="26">
        <f t="shared" si="13"/>
        <v>0</v>
      </c>
      <c r="D19" s="33"/>
      <c r="E19" s="25"/>
      <c r="F19" s="26">
        <f t="shared" si="14"/>
        <v>0</v>
      </c>
      <c r="G19" s="26"/>
      <c r="H19" s="128"/>
      <c r="J19" s="26"/>
      <c r="K19" s="32">
        <f t="shared" si="0"/>
        <v>0</v>
      </c>
      <c r="M19" s="66">
        <v>-1</v>
      </c>
      <c r="N19" s="12">
        <f t="shared" si="18"/>
        <v>-1</v>
      </c>
      <c r="O19" s="60">
        <f t="shared" si="1"/>
        <v>0</v>
      </c>
      <c r="P19" s="65">
        <f t="shared" si="2"/>
        <v>0</v>
      </c>
      <c r="Q19" s="129">
        <f t="shared" si="15"/>
        <v>0</v>
      </c>
      <c r="R19" s="65">
        <f t="shared" si="3"/>
        <v>0</v>
      </c>
      <c r="S19" s="65">
        <f t="shared" si="16"/>
        <v>0</v>
      </c>
      <c r="T19" s="32">
        <f t="shared" si="4"/>
        <v>0</v>
      </c>
      <c r="U19" s="99">
        <f t="shared" si="5"/>
        <v>0</v>
      </c>
      <c r="V19" s="138">
        <f t="shared" si="6"/>
        <v>0</v>
      </c>
      <c r="X19" s="141">
        <f t="shared" si="7"/>
        <v>0</v>
      </c>
      <c r="Y19" s="5">
        <v>1</v>
      </c>
      <c r="Z19" s="99">
        <f t="shared" si="8"/>
        <v>0</v>
      </c>
      <c r="AA19" s="99">
        <f t="shared" si="17"/>
        <v>0</v>
      </c>
      <c r="AC19" s="65">
        <f t="shared" si="9"/>
        <v>0</v>
      </c>
      <c r="AD19" s="65">
        <f t="shared" si="10"/>
        <v>0</v>
      </c>
      <c r="AE19" s="99">
        <f t="shared" si="11"/>
        <v>0</v>
      </c>
      <c r="AF19" s="99">
        <f t="shared" si="12"/>
        <v>0</v>
      </c>
    </row>
    <row r="20" spans="1:32" x14ac:dyDescent="0.2">
      <c r="A20" s="52">
        <v>2104</v>
      </c>
      <c r="B20" s="25" t="s">
        <v>57</v>
      </c>
      <c r="C20" s="26">
        <f t="shared" si="13"/>
        <v>26017.939999999995</v>
      </c>
      <c r="D20" s="33"/>
      <c r="E20" s="25"/>
      <c r="F20" s="26">
        <f t="shared" si="14"/>
        <v>24214.33</v>
      </c>
      <c r="G20" s="26"/>
      <c r="H20" s="128"/>
      <c r="J20" s="26"/>
      <c r="K20" s="32">
        <f t="shared" si="0"/>
        <v>24214.33</v>
      </c>
      <c r="M20" s="66">
        <v>-1</v>
      </c>
      <c r="N20" s="12">
        <f t="shared" si="18"/>
        <v>-1</v>
      </c>
      <c r="O20" s="60">
        <f t="shared" si="1"/>
        <v>0</v>
      </c>
      <c r="P20" s="65">
        <f t="shared" si="2"/>
        <v>-24214.329999999994</v>
      </c>
      <c r="Q20" s="129">
        <f t="shared" si="15"/>
        <v>24214.329999999994</v>
      </c>
      <c r="R20" s="65">
        <f t="shared" si="3"/>
        <v>-1803.61</v>
      </c>
      <c r="S20" s="65">
        <f t="shared" si="16"/>
        <v>1803.61</v>
      </c>
      <c r="T20" s="32">
        <f t="shared" si="4"/>
        <v>24214.33</v>
      </c>
      <c r="U20" s="99">
        <f t="shared" si="5"/>
        <v>1803.6100000000079</v>
      </c>
      <c r="V20" s="138">
        <f t="shared" si="6"/>
        <v>26017.939999999995</v>
      </c>
      <c r="X20" s="141">
        <f t="shared" si="7"/>
        <v>26017.939999999995</v>
      </c>
      <c r="Y20" s="5">
        <v>1</v>
      </c>
      <c r="Z20" s="99">
        <f t="shared" si="8"/>
        <v>-26017.939999999995</v>
      </c>
      <c r="AA20" s="99">
        <f t="shared" si="17"/>
        <v>-24214.33</v>
      </c>
      <c r="AC20" s="65">
        <f t="shared" si="9"/>
        <v>-24214.329999999994</v>
      </c>
      <c r="AD20" s="65">
        <f t="shared" si="10"/>
        <v>-1803.61</v>
      </c>
      <c r="AE20" s="99">
        <f t="shared" si="11"/>
        <v>22410.719999999994</v>
      </c>
      <c r="AF20" s="99">
        <f t="shared" si="12"/>
        <v>-3607.2200000000012</v>
      </c>
    </row>
    <row r="21" spans="1:32" x14ac:dyDescent="0.2">
      <c r="A21" s="52">
        <v>1200</v>
      </c>
      <c r="B21" s="25" t="s">
        <v>58</v>
      </c>
      <c r="C21" s="26">
        <f t="shared" si="13"/>
        <v>207266.09</v>
      </c>
      <c r="D21" s="33"/>
      <c r="E21" s="25"/>
      <c r="F21" s="26">
        <f t="shared" si="14"/>
        <v>62751.02</v>
      </c>
      <c r="G21" s="26"/>
      <c r="H21" s="128"/>
      <c r="J21" s="26"/>
      <c r="K21" s="32">
        <f t="shared" si="0"/>
        <v>62751.02</v>
      </c>
      <c r="M21" s="66">
        <v>-1</v>
      </c>
      <c r="N21" s="12">
        <f t="shared" si="18"/>
        <v>-1</v>
      </c>
      <c r="O21" s="60">
        <f t="shared" si="1"/>
        <v>0</v>
      </c>
      <c r="P21" s="65">
        <f t="shared" si="2"/>
        <v>-62751.02</v>
      </c>
      <c r="Q21" s="129">
        <f t="shared" si="15"/>
        <v>62751.02</v>
      </c>
      <c r="R21" s="65">
        <f t="shared" si="3"/>
        <v>-144515.07</v>
      </c>
      <c r="S21" s="65">
        <f t="shared" si="16"/>
        <v>144515.07</v>
      </c>
      <c r="T21" s="32">
        <f t="shared" si="4"/>
        <v>62751.02</v>
      </c>
      <c r="U21" s="99">
        <f t="shared" si="5"/>
        <v>144515.07</v>
      </c>
      <c r="V21" s="138">
        <f>S21+Q21</f>
        <v>207266.09</v>
      </c>
      <c r="W21" s="141"/>
      <c r="X21" s="141">
        <f t="shared" si="7"/>
        <v>207266.09</v>
      </c>
      <c r="Y21" s="5">
        <v>1</v>
      </c>
      <c r="Z21" s="99">
        <f t="shared" si="8"/>
        <v>-207266.09</v>
      </c>
      <c r="AA21" s="99">
        <f t="shared" si="17"/>
        <v>-62751.02</v>
      </c>
      <c r="AC21" s="65">
        <f t="shared" si="9"/>
        <v>-62751.02</v>
      </c>
      <c r="AD21" s="65">
        <f t="shared" si="10"/>
        <v>-144515.07</v>
      </c>
      <c r="AE21" s="99">
        <f t="shared" si="11"/>
        <v>-81764.050000000017</v>
      </c>
      <c r="AF21" s="99">
        <f t="shared" si="12"/>
        <v>-289030.14</v>
      </c>
    </row>
    <row r="22" spans="1:32" x14ac:dyDescent="0.2">
      <c r="A22" s="52">
        <v>1202</v>
      </c>
      <c r="B22" s="25" t="s">
        <v>59</v>
      </c>
      <c r="C22" s="26">
        <f t="shared" si="13"/>
        <v>26173.439999999995</v>
      </c>
      <c r="D22" s="33"/>
      <c r="E22" s="25"/>
      <c r="F22" s="26">
        <f t="shared" si="14"/>
        <v>52297.94</v>
      </c>
      <c r="G22" s="26"/>
      <c r="H22" s="128"/>
      <c r="I22" s="142"/>
      <c r="J22" s="26"/>
      <c r="K22" s="32">
        <f t="shared" si="0"/>
        <v>52297.94</v>
      </c>
      <c r="M22" s="66">
        <v>-1</v>
      </c>
      <c r="N22" s="12">
        <f t="shared" si="18"/>
        <v>-1</v>
      </c>
      <c r="O22" s="60">
        <f t="shared" si="1"/>
        <v>0</v>
      </c>
      <c r="P22" s="65">
        <f t="shared" si="2"/>
        <v>-52297.939999999995</v>
      </c>
      <c r="Q22" s="129">
        <f t="shared" si="15"/>
        <v>52297.939999999995</v>
      </c>
      <c r="R22" s="65">
        <f t="shared" si="3"/>
        <v>26124.5</v>
      </c>
      <c r="S22" s="65">
        <f t="shared" si="16"/>
        <v>-26124.5</v>
      </c>
      <c r="T22" s="32">
        <f t="shared" si="4"/>
        <v>52297.94</v>
      </c>
      <c r="U22" s="99">
        <f t="shared" si="5"/>
        <v>-26124.499999999993</v>
      </c>
      <c r="V22" s="138">
        <f t="shared" si="6"/>
        <v>26173.439999999995</v>
      </c>
      <c r="W22" s="5">
        <f>X22*1.6</f>
        <v>41877.503999999994</v>
      </c>
      <c r="X22" s="141">
        <f t="shared" si="7"/>
        <v>26173.439999999995</v>
      </c>
      <c r="Y22" s="5">
        <v>1</v>
      </c>
      <c r="Z22" s="99">
        <f t="shared" si="8"/>
        <v>-26173.439999999995</v>
      </c>
      <c r="AA22" s="99">
        <f t="shared" si="17"/>
        <v>-52297.94</v>
      </c>
      <c r="AC22" s="65">
        <f t="shared" si="9"/>
        <v>-52297.939999999995</v>
      </c>
      <c r="AD22" s="65">
        <f t="shared" si="10"/>
        <v>26124.5</v>
      </c>
      <c r="AE22" s="99">
        <f t="shared" si="11"/>
        <v>78422.44</v>
      </c>
      <c r="AF22" s="99">
        <f t="shared" si="12"/>
        <v>52249.000000000007</v>
      </c>
    </row>
    <row r="23" spans="1:32" x14ac:dyDescent="0.2">
      <c r="A23" s="52">
        <v>1203</v>
      </c>
      <c r="B23" s="25" t="s">
        <v>60</v>
      </c>
      <c r="C23" s="26">
        <f t="shared" si="13"/>
        <v>0</v>
      </c>
      <c r="D23" s="33"/>
      <c r="E23" s="25"/>
      <c r="F23" s="26">
        <f t="shared" si="14"/>
        <v>0</v>
      </c>
      <c r="G23" s="26"/>
      <c r="H23" s="128"/>
      <c r="J23" s="26"/>
      <c r="K23" s="32">
        <f t="shared" si="0"/>
        <v>0</v>
      </c>
      <c r="M23" s="66">
        <v>-1</v>
      </c>
      <c r="N23" s="12">
        <f t="shared" si="18"/>
        <v>-1</v>
      </c>
      <c r="O23" s="60">
        <f t="shared" si="1"/>
        <v>0</v>
      </c>
      <c r="P23" s="65">
        <f t="shared" si="2"/>
        <v>0</v>
      </c>
      <c r="Q23" s="129">
        <f t="shared" si="15"/>
        <v>0</v>
      </c>
      <c r="R23" s="65">
        <f t="shared" si="3"/>
        <v>0</v>
      </c>
      <c r="S23" s="65">
        <f t="shared" si="16"/>
        <v>0</v>
      </c>
      <c r="T23" s="32">
        <f t="shared" si="4"/>
        <v>0</v>
      </c>
      <c r="U23" s="99">
        <f t="shared" si="5"/>
        <v>0</v>
      </c>
      <c r="V23" s="138">
        <f t="shared" si="6"/>
        <v>0</v>
      </c>
      <c r="X23" s="141">
        <f t="shared" si="7"/>
        <v>0</v>
      </c>
      <c r="Y23" s="5">
        <v>1</v>
      </c>
      <c r="Z23" s="99">
        <f t="shared" si="8"/>
        <v>0</v>
      </c>
      <c r="AA23" s="99">
        <f t="shared" si="17"/>
        <v>0</v>
      </c>
      <c r="AC23" s="65">
        <f t="shared" si="9"/>
        <v>0</v>
      </c>
      <c r="AD23" s="65">
        <f t="shared" si="10"/>
        <v>0</v>
      </c>
      <c r="AE23" s="99">
        <f t="shared" si="11"/>
        <v>0</v>
      </c>
      <c r="AF23" s="99">
        <f t="shared" si="12"/>
        <v>0</v>
      </c>
    </row>
    <row r="24" spans="1:32" x14ac:dyDescent="0.2">
      <c r="A24" s="52">
        <v>1204</v>
      </c>
      <c r="B24" s="25" t="s">
        <v>61</v>
      </c>
      <c r="C24" s="26">
        <f t="shared" si="13"/>
        <v>487.17</v>
      </c>
      <c r="D24" s="33"/>
      <c r="E24" s="25"/>
      <c r="F24" s="26">
        <f t="shared" si="14"/>
        <v>856.64</v>
      </c>
      <c r="G24" s="26"/>
      <c r="H24" s="128"/>
      <c r="J24" s="26"/>
      <c r="K24" s="32">
        <f t="shared" si="0"/>
        <v>856.64</v>
      </c>
      <c r="M24" s="66">
        <v>-1</v>
      </c>
      <c r="N24" s="12">
        <f t="shared" si="18"/>
        <v>-1</v>
      </c>
      <c r="O24" s="60">
        <f t="shared" si="1"/>
        <v>0</v>
      </c>
      <c r="P24" s="65">
        <f t="shared" si="2"/>
        <v>-700</v>
      </c>
      <c r="Q24" s="129">
        <f t="shared" si="15"/>
        <v>700</v>
      </c>
      <c r="R24" s="65">
        <f t="shared" si="3"/>
        <v>212.82999999999998</v>
      </c>
      <c r="S24" s="65">
        <f t="shared" si="16"/>
        <v>-212.82999999999998</v>
      </c>
      <c r="T24" s="32">
        <f t="shared" si="4"/>
        <v>856.64</v>
      </c>
      <c r="U24" s="99">
        <f t="shared" si="5"/>
        <v>-56.190000000000055</v>
      </c>
      <c r="V24" s="138">
        <f t="shared" si="6"/>
        <v>487.17</v>
      </c>
      <c r="X24" s="141">
        <f t="shared" si="7"/>
        <v>487.17</v>
      </c>
      <c r="Y24" s="5">
        <v>1</v>
      </c>
      <c r="Z24" s="99">
        <f t="shared" si="8"/>
        <v>-487.17</v>
      </c>
      <c r="AA24" s="99">
        <f t="shared" si="17"/>
        <v>-856.64</v>
      </c>
      <c r="AC24" s="65">
        <f t="shared" si="9"/>
        <v>-700</v>
      </c>
      <c r="AD24" s="65">
        <f t="shared" si="10"/>
        <v>212.82999999999998</v>
      </c>
      <c r="AE24" s="99">
        <f t="shared" si="11"/>
        <v>912.82999999999993</v>
      </c>
      <c r="AF24" s="99">
        <f t="shared" si="12"/>
        <v>425.65999999999991</v>
      </c>
    </row>
    <row r="25" spans="1:32" x14ac:dyDescent="0.2">
      <c r="A25" s="52"/>
      <c r="B25" s="30" t="s">
        <v>62</v>
      </c>
      <c r="C25" s="32">
        <f>SUM(C14:C24)</f>
        <v>822254.35999999987</v>
      </c>
      <c r="D25" s="31"/>
      <c r="E25" s="30"/>
      <c r="F25" s="32">
        <f>SUM(F14:F24)</f>
        <v>843634.99000000011</v>
      </c>
      <c r="G25" s="32"/>
      <c r="H25" s="133"/>
      <c r="J25" s="32"/>
      <c r="K25" s="32"/>
      <c r="M25" s="66"/>
      <c r="N25" s="63"/>
      <c r="O25" s="63"/>
      <c r="P25" s="32"/>
      <c r="Q25" s="32"/>
      <c r="R25" s="32"/>
      <c r="S25" s="32"/>
      <c r="T25" s="32"/>
      <c r="V25" s="119"/>
      <c r="X25" s="141"/>
      <c r="Z25" s="99"/>
      <c r="AA25" s="99"/>
      <c r="AC25" s="32"/>
      <c r="AD25" s="32"/>
    </row>
    <row r="26" spans="1:32" x14ac:dyDescent="0.2">
      <c r="A26" s="52"/>
      <c r="B26" s="25"/>
      <c r="C26" s="33"/>
      <c r="D26" s="33"/>
      <c r="E26" s="25"/>
      <c r="F26" s="26"/>
      <c r="G26" s="26"/>
      <c r="H26" s="128"/>
      <c r="J26" s="26"/>
      <c r="K26" s="32"/>
      <c r="M26" s="66"/>
      <c r="N26" s="63"/>
      <c r="O26" s="63"/>
      <c r="P26" s="32"/>
      <c r="Q26" s="32"/>
      <c r="R26" s="32"/>
      <c r="S26" s="32"/>
      <c r="T26" s="32"/>
      <c r="V26" s="119"/>
      <c r="X26" s="141"/>
      <c r="Z26" s="99"/>
      <c r="AA26" s="99"/>
      <c r="AC26" s="32"/>
      <c r="AD26" s="32"/>
    </row>
    <row r="27" spans="1:32" x14ac:dyDescent="0.2">
      <c r="A27" s="52"/>
      <c r="B27" s="30" t="s">
        <v>63</v>
      </c>
      <c r="C27" s="31"/>
      <c r="D27" s="31"/>
      <c r="E27" s="30"/>
      <c r="F27" s="32"/>
      <c r="G27" s="32"/>
      <c r="H27" s="133"/>
      <c r="J27" s="32"/>
      <c r="K27" s="32"/>
      <c r="M27" s="66"/>
      <c r="N27" s="63"/>
      <c r="O27" s="63"/>
      <c r="P27" s="32"/>
      <c r="Q27" s="32"/>
      <c r="R27" s="32"/>
      <c r="S27" s="32"/>
      <c r="T27" s="32"/>
      <c r="V27" s="119"/>
      <c r="X27" s="141"/>
      <c r="Z27" s="99"/>
      <c r="AA27" s="99"/>
      <c r="AC27" s="32"/>
      <c r="AD27" s="32"/>
    </row>
    <row r="28" spans="1:32" ht="12.75" customHeight="1" x14ac:dyDescent="0.2">
      <c r="A28" s="52">
        <v>2100</v>
      </c>
      <c r="B28" s="25" t="s">
        <v>64</v>
      </c>
      <c r="C28" s="26">
        <f t="shared" ref="C28:C33" si="19">X28</f>
        <v>12872.210000000006</v>
      </c>
      <c r="D28" s="33"/>
      <c r="E28" s="25"/>
      <c r="F28" s="26">
        <f t="shared" ref="F28:F33" si="20">K28</f>
        <v>42685.95</v>
      </c>
      <c r="G28" s="26"/>
      <c r="H28" s="128"/>
      <c r="J28" s="26"/>
      <c r="K28" s="32">
        <f t="shared" ref="K28:K33" si="21">VLOOKUP($A28,BS_History,K$6,FALSE)</f>
        <v>42685.95</v>
      </c>
      <c r="M28" s="66">
        <v>1</v>
      </c>
      <c r="N28" s="12">
        <f t="shared" ref="N28:N33" si="22">VLOOKUP($A28,TB_Period,$N$3,FALSE)</f>
        <v>1</v>
      </c>
      <c r="O28" s="60">
        <f t="shared" ref="O28:O32" si="23">M28-N28</f>
        <v>0</v>
      </c>
      <c r="P28" s="65">
        <f t="shared" ref="P28:P33" si="24">VLOOKUP($A28,TB_Period,2,FALSE)</f>
        <v>42709.890000000007</v>
      </c>
      <c r="Q28" s="129">
        <f t="shared" ref="Q28:Q33" si="25">P28*$M28</f>
        <v>42709.890000000007</v>
      </c>
      <c r="R28" s="65">
        <f t="shared" ref="R28:R33" si="26">VLOOKUP($A28,TB_Period,4,FALSE)</f>
        <v>-29837.68</v>
      </c>
      <c r="S28" s="65">
        <f t="shared" ref="S28:S33" si="27">R28*$M28</f>
        <v>-29837.68</v>
      </c>
      <c r="T28" s="32">
        <f t="shared" ref="T28:T33" si="28">VLOOKUP($A28,BS_History,BS_OM_COL,FALSE)</f>
        <v>42685.95</v>
      </c>
      <c r="U28" s="99">
        <f t="shared" ref="U28:U33" si="29">S28+T28-Q28</f>
        <v>-29861.62000000001</v>
      </c>
      <c r="V28" s="138">
        <f t="shared" ref="V28:V33" si="30">S28+Q28</f>
        <v>12872.210000000006</v>
      </c>
      <c r="X28" s="141">
        <f t="shared" ref="X28:X33" si="31">IF(OpeningTBType="YTD",U28,IF(OpeningTBType="EOY",V28,"Unknown Opening period type"))</f>
        <v>12872.210000000006</v>
      </c>
      <c r="Y28" s="5">
        <v>-1</v>
      </c>
      <c r="Z28" s="99">
        <f t="shared" ref="Z28:Z33" si="32">C28*N28</f>
        <v>12872.210000000006</v>
      </c>
      <c r="AA28" s="99">
        <f t="shared" ref="AA28:AA33" si="33">T28*N28</f>
        <v>42685.95</v>
      </c>
      <c r="AC28" s="65">
        <f t="shared" ref="AC28:AC33" si="34">VLOOKUP($A28,TB_Period,2,FALSE)</f>
        <v>42709.890000000007</v>
      </c>
      <c r="AD28" s="65">
        <f t="shared" ref="AD28:AD33" si="35">VLOOKUP($A28,TB_Period,4,FALSE)</f>
        <v>-29837.68</v>
      </c>
      <c r="AE28" s="99">
        <f t="shared" ref="AE28:AE33" si="36">AD28-AC28</f>
        <v>-72547.570000000007</v>
      </c>
      <c r="AF28" s="99">
        <f t="shared" ref="AF28:AF33" si="37">AE28+Z28</f>
        <v>-59675.360000000001</v>
      </c>
    </row>
    <row r="29" spans="1:32" x14ac:dyDescent="0.2">
      <c r="A29" s="52">
        <v>2106</v>
      </c>
      <c r="B29" s="25" t="s">
        <v>65</v>
      </c>
      <c r="C29" s="26">
        <f t="shared" si="19"/>
        <v>8563.3799999999992</v>
      </c>
      <c r="D29" s="33"/>
      <c r="E29" s="25"/>
      <c r="F29" s="26">
        <f t="shared" si="20"/>
        <v>0</v>
      </c>
      <c r="G29" s="26"/>
      <c r="H29" s="128"/>
      <c r="J29" s="26"/>
      <c r="K29" s="32">
        <f t="shared" si="21"/>
        <v>0</v>
      </c>
      <c r="M29" s="66">
        <v>1</v>
      </c>
      <c r="N29" s="12">
        <f t="shared" si="22"/>
        <v>1</v>
      </c>
      <c r="O29" s="60">
        <f t="shared" si="23"/>
        <v>0</v>
      </c>
      <c r="P29" s="65">
        <f t="shared" si="24"/>
        <v>0</v>
      </c>
      <c r="Q29" s="129">
        <f t="shared" si="25"/>
        <v>0</v>
      </c>
      <c r="R29" s="65">
        <f t="shared" si="26"/>
        <v>8563.3799999999992</v>
      </c>
      <c r="S29" s="65">
        <f t="shared" si="27"/>
        <v>8563.3799999999992</v>
      </c>
      <c r="T29" s="32">
        <f t="shared" si="28"/>
        <v>0</v>
      </c>
      <c r="U29" s="99">
        <f t="shared" si="29"/>
        <v>8563.3799999999992</v>
      </c>
      <c r="V29" s="138">
        <f t="shared" si="30"/>
        <v>8563.3799999999992</v>
      </c>
      <c r="X29" s="141">
        <f t="shared" si="31"/>
        <v>8563.3799999999992</v>
      </c>
      <c r="Y29" s="5">
        <v>-1</v>
      </c>
      <c r="Z29" s="99">
        <f t="shared" si="32"/>
        <v>8563.3799999999992</v>
      </c>
      <c r="AA29" s="99">
        <f t="shared" si="33"/>
        <v>0</v>
      </c>
      <c r="AC29" s="65">
        <f t="shared" si="34"/>
        <v>0</v>
      </c>
      <c r="AD29" s="65">
        <f t="shared" si="35"/>
        <v>8563.3799999999992</v>
      </c>
      <c r="AE29" s="99">
        <f t="shared" si="36"/>
        <v>8563.3799999999992</v>
      </c>
      <c r="AF29" s="99">
        <f t="shared" si="37"/>
        <v>17126.759999999998</v>
      </c>
    </row>
    <row r="30" spans="1:32" x14ac:dyDescent="0.2">
      <c r="A30" s="52">
        <v>2107</v>
      </c>
      <c r="B30" s="25" t="s">
        <v>66</v>
      </c>
      <c r="C30" s="26">
        <f t="shared" si="19"/>
        <v>3360.91</v>
      </c>
      <c r="D30" s="33"/>
      <c r="E30" s="25"/>
      <c r="F30" s="26">
        <f t="shared" si="20"/>
        <v>4606.3099999999995</v>
      </c>
      <c r="G30" s="26"/>
      <c r="H30" s="128"/>
      <c r="J30" s="26"/>
      <c r="K30" s="32">
        <f t="shared" si="21"/>
        <v>4606.3099999999995</v>
      </c>
      <c r="M30" s="66">
        <v>1</v>
      </c>
      <c r="N30" s="12">
        <f t="shared" si="22"/>
        <v>1</v>
      </c>
      <c r="O30" s="60">
        <f t="shared" si="23"/>
        <v>0</v>
      </c>
      <c r="P30" s="65">
        <f t="shared" si="24"/>
        <v>4606.3099999999995</v>
      </c>
      <c r="Q30" s="129">
        <f t="shared" si="25"/>
        <v>4606.3099999999995</v>
      </c>
      <c r="R30" s="65">
        <f t="shared" si="26"/>
        <v>-1245.3999999999999</v>
      </c>
      <c r="S30" s="65">
        <f t="shared" si="27"/>
        <v>-1245.3999999999999</v>
      </c>
      <c r="T30" s="32">
        <f t="shared" si="28"/>
        <v>4606.3099999999995</v>
      </c>
      <c r="U30" s="99">
        <f t="shared" si="29"/>
        <v>-1245.3999999999996</v>
      </c>
      <c r="V30" s="138">
        <f t="shared" si="30"/>
        <v>3360.91</v>
      </c>
      <c r="X30" s="141">
        <f t="shared" si="31"/>
        <v>3360.91</v>
      </c>
      <c r="Y30" s="5">
        <v>-1</v>
      </c>
      <c r="Z30" s="99">
        <f t="shared" si="32"/>
        <v>3360.91</v>
      </c>
      <c r="AA30" s="99">
        <f t="shared" si="33"/>
        <v>4606.3099999999995</v>
      </c>
      <c r="AC30" s="65">
        <f t="shared" si="34"/>
        <v>4606.3099999999995</v>
      </c>
      <c r="AD30" s="65">
        <f t="shared" si="35"/>
        <v>-1245.3999999999999</v>
      </c>
      <c r="AE30" s="99">
        <f t="shared" si="36"/>
        <v>-5851.7099999999991</v>
      </c>
      <c r="AF30" s="99">
        <f t="shared" si="37"/>
        <v>-2490.7999999999993</v>
      </c>
    </row>
    <row r="31" spans="1:32" x14ac:dyDescent="0.2">
      <c r="A31" s="52">
        <v>2108</v>
      </c>
      <c r="B31" s="25" t="s">
        <v>67</v>
      </c>
      <c r="C31" s="26">
        <f t="shared" si="19"/>
        <v>40982.979999999967</v>
      </c>
      <c r="D31" s="33"/>
      <c r="E31" s="25"/>
      <c r="F31" s="26">
        <f t="shared" si="20"/>
        <v>27952.04999999997</v>
      </c>
      <c r="G31" s="26"/>
      <c r="H31" s="128"/>
      <c r="J31" s="26"/>
      <c r="K31" s="32">
        <f t="shared" si="21"/>
        <v>27952.04999999997</v>
      </c>
      <c r="M31" s="66">
        <v>1</v>
      </c>
      <c r="N31" s="12">
        <f t="shared" si="22"/>
        <v>1</v>
      </c>
      <c r="O31" s="60">
        <f t="shared" si="23"/>
        <v>0</v>
      </c>
      <c r="P31" s="65">
        <f t="shared" si="24"/>
        <v>27952.049999999963</v>
      </c>
      <c r="Q31" s="129">
        <f t="shared" si="25"/>
        <v>27952.049999999963</v>
      </c>
      <c r="R31" s="65">
        <f t="shared" si="26"/>
        <v>13030.93</v>
      </c>
      <c r="S31" s="65">
        <f t="shared" si="27"/>
        <v>13030.93</v>
      </c>
      <c r="T31" s="32">
        <f t="shared" si="28"/>
        <v>27952.04999999997</v>
      </c>
      <c r="U31" s="99">
        <f t="shared" si="29"/>
        <v>13030.930000000004</v>
      </c>
      <c r="V31" s="138">
        <f t="shared" si="30"/>
        <v>40982.979999999967</v>
      </c>
      <c r="X31" s="141">
        <f t="shared" si="31"/>
        <v>40982.979999999967</v>
      </c>
      <c r="Y31" s="5">
        <v>-1</v>
      </c>
      <c r="Z31" s="99">
        <f t="shared" si="32"/>
        <v>40982.979999999967</v>
      </c>
      <c r="AA31" s="99">
        <f t="shared" si="33"/>
        <v>27952.04999999997</v>
      </c>
      <c r="AC31" s="65">
        <f t="shared" si="34"/>
        <v>27952.049999999963</v>
      </c>
      <c r="AD31" s="65">
        <f t="shared" si="35"/>
        <v>13030.93</v>
      </c>
      <c r="AE31" s="99">
        <f t="shared" si="36"/>
        <v>-14921.119999999963</v>
      </c>
      <c r="AF31" s="99">
        <f t="shared" si="37"/>
        <v>26061.860000000004</v>
      </c>
    </row>
    <row r="32" spans="1:32" x14ac:dyDescent="0.2">
      <c r="A32" s="52">
        <v>2109</v>
      </c>
      <c r="B32" s="25" t="s">
        <v>68</v>
      </c>
      <c r="C32" s="26">
        <f t="shared" si="19"/>
        <v>-14533.84</v>
      </c>
      <c r="D32" s="33"/>
      <c r="E32" s="25"/>
      <c r="F32" s="26">
        <f t="shared" si="20"/>
        <v>-15151.580000000002</v>
      </c>
      <c r="G32" s="26"/>
      <c r="H32" s="128"/>
      <c r="J32" s="26"/>
      <c r="K32" s="32">
        <f t="shared" si="21"/>
        <v>-15151.580000000002</v>
      </c>
      <c r="M32" s="66">
        <v>1</v>
      </c>
      <c r="N32" s="12">
        <f t="shared" si="22"/>
        <v>1</v>
      </c>
      <c r="O32" s="60">
        <f t="shared" si="23"/>
        <v>0</v>
      </c>
      <c r="P32" s="65">
        <f t="shared" si="24"/>
        <v>-15151.58</v>
      </c>
      <c r="Q32" s="129">
        <f t="shared" si="25"/>
        <v>-15151.58</v>
      </c>
      <c r="R32" s="65">
        <f t="shared" si="26"/>
        <v>617.74</v>
      </c>
      <c r="S32" s="65">
        <f t="shared" si="27"/>
        <v>617.74</v>
      </c>
      <c r="T32" s="32">
        <f t="shared" si="28"/>
        <v>-15151.580000000002</v>
      </c>
      <c r="U32" s="99">
        <f t="shared" si="29"/>
        <v>617.73999999999796</v>
      </c>
      <c r="V32" s="138">
        <f t="shared" si="30"/>
        <v>-14533.84</v>
      </c>
      <c r="X32" s="141">
        <f t="shared" si="31"/>
        <v>-14533.84</v>
      </c>
      <c r="Y32" s="5">
        <v>-1</v>
      </c>
      <c r="Z32" s="99">
        <f t="shared" si="32"/>
        <v>-14533.84</v>
      </c>
      <c r="AA32" s="99">
        <f t="shared" si="33"/>
        <v>-15151.580000000002</v>
      </c>
      <c r="AC32" s="65">
        <f t="shared" si="34"/>
        <v>-15151.58</v>
      </c>
      <c r="AD32" s="65">
        <f t="shared" si="35"/>
        <v>617.74</v>
      </c>
      <c r="AE32" s="99">
        <f t="shared" si="36"/>
        <v>15769.32</v>
      </c>
      <c r="AF32" s="99">
        <f t="shared" si="37"/>
        <v>1235.4799999999996</v>
      </c>
    </row>
    <row r="33" spans="1:32" x14ac:dyDescent="0.2">
      <c r="A33" s="52">
        <v>2110</v>
      </c>
      <c r="B33" s="25" t="s">
        <v>69</v>
      </c>
      <c r="C33" s="26">
        <f t="shared" si="19"/>
        <v>0</v>
      </c>
      <c r="D33" s="33"/>
      <c r="E33" s="25"/>
      <c r="F33" s="26">
        <f t="shared" si="20"/>
        <v>0</v>
      </c>
      <c r="G33" s="26"/>
      <c r="H33" s="128"/>
      <c r="J33" s="26"/>
      <c r="K33" s="32">
        <f t="shared" si="21"/>
        <v>0</v>
      </c>
      <c r="M33" s="66">
        <v>1</v>
      </c>
      <c r="N33" s="12">
        <f t="shared" si="22"/>
        <v>1</v>
      </c>
      <c r="O33" s="60">
        <f t="shared" ref="O33" si="38">M33-N33</f>
        <v>0</v>
      </c>
      <c r="P33" s="65">
        <f t="shared" si="24"/>
        <v>0</v>
      </c>
      <c r="Q33" s="129">
        <f t="shared" si="25"/>
        <v>0</v>
      </c>
      <c r="R33" s="65">
        <f t="shared" si="26"/>
        <v>0</v>
      </c>
      <c r="S33" s="65">
        <f t="shared" si="27"/>
        <v>0</v>
      </c>
      <c r="T33" s="32">
        <f t="shared" si="28"/>
        <v>0</v>
      </c>
      <c r="U33" s="99">
        <f t="shared" si="29"/>
        <v>0</v>
      </c>
      <c r="V33" s="138">
        <f t="shared" si="30"/>
        <v>0</v>
      </c>
      <c r="X33" s="141">
        <f t="shared" si="31"/>
        <v>0</v>
      </c>
      <c r="Y33" s="5">
        <v>-1</v>
      </c>
      <c r="Z33" s="99">
        <f t="shared" si="32"/>
        <v>0</v>
      </c>
      <c r="AA33" s="99">
        <f t="shared" si="33"/>
        <v>0</v>
      </c>
      <c r="AC33" s="65">
        <f t="shared" si="34"/>
        <v>0</v>
      </c>
      <c r="AD33" s="65">
        <f t="shared" si="35"/>
        <v>0</v>
      </c>
      <c r="AE33" s="99">
        <f t="shared" si="36"/>
        <v>0</v>
      </c>
      <c r="AF33" s="99">
        <f t="shared" si="37"/>
        <v>0</v>
      </c>
    </row>
    <row r="34" spans="1:32" x14ac:dyDescent="0.2">
      <c r="A34" s="34"/>
      <c r="B34" s="30" t="s">
        <v>70</v>
      </c>
      <c r="C34" s="32">
        <f>SUM(C28:C33)</f>
        <v>51245.63999999997</v>
      </c>
      <c r="D34" s="31"/>
      <c r="E34" s="30"/>
      <c r="F34" s="32">
        <f>SUM(F28:F33)</f>
        <v>60092.729999999967</v>
      </c>
      <c r="G34" s="32"/>
      <c r="H34" s="133"/>
      <c r="J34" s="32"/>
      <c r="K34" s="32"/>
      <c r="M34" s="66"/>
      <c r="N34" s="63"/>
      <c r="O34" s="63"/>
      <c r="P34" s="32"/>
      <c r="Q34" s="32"/>
      <c r="R34" s="32"/>
      <c r="S34" s="32"/>
      <c r="T34" s="32"/>
      <c r="V34" s="119"/>
      <c r="X34" s="141"/>
      <c r="Z34" s="99"/>
      <c r="AA34" s="99"/>
      <c r="AC34" s="32"/>
      <c r="AD34" s="32"/>
    </row>
    <row r="35" spans="1:32" x14ac:dyDescent="0.2">
      <c r="A35" s="52"/>
      <c r="B35" s="30"/>
      <c r="C35" s="31"/>
      <c r="D35" s="31"/>
      <c r="E35" s="30"/>
      <c r="F35" s="32"/>
      <c r="G35" s="32"/>
      <c r="H35" s="133"/>
      <c r="J35" s="32"/>
      <c r="K35" s="32"/>
      <c r="M35" s="66"/>
      <c r="N35" s="63"/>
      <c r="O35" s="63"/>
      <c r="P35" s="32"/>
      <c r="Q35" s="32"/>
      <c r="R35" s="32"/>
      <c r="S35" s="32"/>
      <c r="T35" s="32"/>
      <c r="V35" s="119"/>
      <c r="X35" s="141"/>
      <c r="Z35" s="99"/>
      <c r="AA35" s="99"/>
      <c r="AC35" s="32"/>
      <c r="AD35" s="32"/>
    </row>
    <row r="36" spans="1:32" x14ac:dyDescent="0.2">
      <c r="A36" s="52"/>
      <c r="B36" s="30" t="s">
        <v>71</v>
      </c>
      <c r="C36" s="31"/>
      <c r="D36" s="55">
        <f>C25-C34</f>
        <v>771008.71999999986</v>
      </c>
      <c r="E36" s="32"/>
      <c r="F36" s="32"/>
      <c r="G36" s="32">
        <f>F25-F34</f>
        <v>783542.26000000013</v>
      </c>
      <c r="H36" s="133"/>
      <c r="J36" s="32"/>
      <c r="K36" s="32"/>
      <c r="M36" s="66"/>
      <c r="N36" s="63"/>
      <c r="O36" s="63"/>
      <c r="P36" s="32"/>
      <c r="Q36" s="32"/>
      <c r="R36" s="32"/>
      <c r="S36" s="32"/>
      <c r="T36" s="32"/>
      <c r="V36" s="119"/>
      <c r="X36" s="141"/>
      <c r="Z36" s="99"/>
      <c r="AA36" s="99"/>
      <c r="AC36" s="32"/>
      <c r="AD36" s="32"/>
    </row>
    <row r="37" spans="1:32" x14ac:dyDescent="0.2">
      <c r="A37" s="52"/>
      <c r="B37" s="30"/>
      <c r="C37" s="31"/>
      <c r="D37" s="53"/>
      <c r="E37" s="30"/>
      <c r="F37" s="32"/>
      <c r="G37" s="32"/>
      <c r="H37" s="133"/>
      <c r="J37" s="32"/>
      <c r="K37" s="32"/>
      <c r="M37" s="66"/>
      <c r="N37" s="63"/>
      <c r="O37" s="63"/>
      <c r="P37" s="32"/>
      <c r="Q37" s="32"/>
      <c r="R37" s="32"/>
      <c r="S37" s="32"/>
      <c r="T37" s="32"/>
      <c r="V37" s="119"/>
      <c r="X37" s="141"/>
      <c r="Z37" s="99"/>
      <c r="AA37" s="99"/>
      <c r="AC37" s="32"/>
      <c r="AD37" s="32"/>
    </row>
    <row r="38" spans="1:32" x14ac:dyDescent="0.2">
      <c r="A38" s="52"/>
      <c r="B38" s="35" t="s">
        <v>72</v>
      </c>
      <c r="C38" s="36"/>
      <c r="D38" s="36"/>
      <c r="E38" s="35"/>
      <c r="F38" s="37"/>
      <c r="G38" s="37"/>
      <c r="H38" s="134"/>
      <c r="J38" s="37"/>
      <c r="K38" s="32"/>
      <c r="M38" s="66"/>
      <c r="N38" s="63"/>
      <c r="O38" s="63"/>
      <c r="P38" s="32"/>
      <c r="Q38" s="32"/>
      <c r="R38" s="32"/>
      <c r="S38" s="32"/>
      <c r="T38" s="32"/>
      <c r="V38" s="119"/>
      <c r="X38" s="141"/>
      <c r="Z38" s="99"/>
      <c r="AA38" s="99"/>
      <c r="AC38" s="32"/>
      <c r="AD38" s="32"/>
    </row>
    <row r="39" spans="1:32" x14ac:dyDescent="0.2">
      <c r="A39" s="52">
        <v>2103</v>
      </c>
      <c r="B39" s="25" t="s">
        <v>73</v>
      </c>
      <c r="C39" s="26">
        <f>X39</f>
        <v>231405.93</v>
      </c>
      <c r="D39" s="54"/>
      <c r="E39" s="25"/>
      <c r="F39" s="26">
        <f t="shared" ref="F39" si="39">K39</f>
        <v>235301.84999999998</v>
      </c>
      <c r="G39" s="26"/>
      <c r="H39" s="128"/>
      <c r="J39" s="26"/>
      <c r="K39" s="32">
        <f>VLOOKUP($A39,BS_History,K$6,FALSE)</f>
        <v>235301.84999999998</v>
      </c>
      <c r="M39" s="66">
        <v>1</v>
      </c>
      <c r="N39" s="12">
        <f>VLOOKUP($A39,TB_Period,$N$3,FALSE)</f>
        <v>1</v>
      </c>
      <c r="O39" s="60">
        <f>M39-N39</f>
        <v>0</v>
      </c>
      <c r="P39" s="65">
        <f>VLOOKUP($A39,TB_Period,2,FALSE)</f>
        <v>235301.85</v>
      </c>
      <c r="Q39" s="129">
        <f>P39*$M39</f>
        <v>235301.85</v>
      </c>
      <c r="R39" s="65">
        <f>VLOOKUP($A39,TB_Period,4,FALSE)</f>
        <v>-3895.92</v>
      </c>
      <c r="S39" s="65">
        <f t="shared" ref="S39" si="40">R39*$M39</f>
        <v>-3895.92</v>
      </c>
      <c r="T39" s="32">
        <f>VLOOKUP($A39,BS_History,BS_OM_COL,FALSE)</f>
        <v>235301.84999999998</v>
      </c>
      <c r="U39" s="99">
        <f>S39+T39-Q39</f>
        <v>-3895.9200000000419</v>
      </c>
      <c r="V39" s="138">
        <f>S39+Q39</f>
        <v>231405.93</v>
      </c>
      <c r="X39" s="141">
        <f>IF(OpeningTBType="YTD",U39,IF(OpeningTBType="EOY",V39,"Unknown Opening period type"))</f>
        <v>231405.93</v>
      </c>
      <c r="Z39" s="99">
        <f>C39*N39</f>
        <v>231405.93</v>
      </c>
      <c r="AA39" s="99">
        <f>T39*N39</f>
        <v>235301.84999999998</v>
      </c>
      <c r="AC39" s="65">
        <f>VLOOKUP($A39,TB_Period,2,FALSE)</f>
        <v>235301.85</v>
      </c>
      <c r="AD39" s="65">
        <f>VLOOKUP($A39,TB_Period,4,FALSE)</f>
        <v>-3895.92</v>
      </c>
      <c r="AE39" s="99">
        <f>AD39-AC39</f>
        <v>-239197.77000000002</v>
      </c>
      <c r="AF39" s="99">
        <f>AE39+Z39</f>
        <v>-7791.8400000000256</v>
      </c>
    </row>
    <row r="40" spans="1:32" x14ac:dyDescent="0.2">
      <c r="A40" s="34"/>
      <c r="B40" s="35" t="s">
        <v>74</v>
      </c>
      <c r="C40" s="36"/>
      <c r="D40" s="68">
        <f>C39</f>
        <v>231405.93</v>
      </c>
      <c r="E40" s="35"/>
      <c r="F40" s="37"/>
      <c r="G40" s="37">
        <f>SUM(F38:F39)</f>
        <v>235301.84999999998</v>
      </c>
      <c r="H40" s="134"/>
      <c r="J40" s="37"/>
      <c r="K40" s="32"/>
      <c r="M40" s="66"/>
      <c r="N40" s="63"/>
      <c r="O40" s="63"/>
      <c r="P40" s="32"/>
      <c r="Q40" s="32"/>
      <c r="R40" s="32"/>
      <c r="S40" s="32"/>
      <c r="T40" s="32"/>
      <c r="V40" s="119"/>
      <c r="X40" s="141"/>
      <c r="Z40" s="99"/>
      <c r="AA40" s="99"/>
    </row>
    <row r="41" spans="1:32" x14ac:dyDescent="0.2">
      <c r="A41" s="52"/>
      <c r="B41" s="35"/>
      <c r="C41" s="36"/>
      <c r="D41" s="36"/>
      <c r="E41" s="35"/>
      <c r="F41" s="37"/>
      <c r="G41" s="37"/>
      <c r="H41" s="134"/>
      <c r="J41" s="37"/>
      <c r="K41" s="32"/>
      <c r="M41" s="66"/>
      <c r="N41" s="63"/>
      <c r="O41" s="63"/>
      <c r="P41" s="32"/>
      <c r="Q41" s="32"/>
      <c r="R41" s="32"/>
      <c r="S41" s="32"/>
      <c r="T41" s="32"/>
      <c r="V41" s="119"/>
      <c r="X41" s="141"/>
      <c r="Z41" s="99"/>
      <c r="AA41" s="99"/>
    </row>
    <row r="42" spans="1:32" x14ac:dyDescent="0.2">
      <c r="A42" s="52"/>
      <c r="B42" s="35" t="s">
        <v>75</v>
      </c>
      <c r="C42" s="36"/>
      <c r="D42" s="68">
        <f>D11+D36-D40</f>
        <v>550216.32999999984</v>
      </c>
      <c r="E42" s="35"/>
      <c r="F42" s="37"/>
      <c r="G42" s="37">
        <f>G11+G36-G40</f>
        <v>558166.41000000015</v>
      </c>
      <c r="H42" s="134"/>
      <c r="J42" s="37"/>
      <c r="K42" s="32"/>
      <c r="M42" s="66"/>
      <c r="N42" s="63"/>
      <c r="O42" s="63"/>
      <c r="P42" s="32"/>
      <c r="Q42" s="32"/>
      <c r="R42" s="32"/>
      <c r="S42" s="32"/>
      <c r="T42" s="32"/>
      <c r="V42" s="119"/>
      <c r="X42" s="141"/>
      <c r="Z42" s="99"/>
      <c r="AA42" s="99"/>
    </row>
    <row r="43" spans="1:32" x14ac:dyDescent="0.2">
      <c r="A43" s="52"/>
      <c r="B43" s="35"/>
      <c r="C43" s="36"/>
      <c r="D43" s="36"/>
      <c r="E43" s="35"/>
      <c r="F43" s="37"/>
      <c r="G43" s="37"/>
      <c r="H43" s="134"/>
      <c r="J43" s="37"/>
      <c r="K43" s="32"/>
      <c r="M43" s="66"/>
      <c r="N43" s="63"/>
      <c r="O43" s="63"/>
      <c r="P43" s="32"/>
      <c r="Q43" s="32"/>
      <c r="R43" s="32"/>
      <c r="S43" s="32"/>
      <c r="T43" s="32"/>
      <c r="V43" s="119"/>
      <c r="X43" s="141"/>
      <c r="Z43" s="99"/>
      <c r="AA43" s="99"/>
    </row>
    <row r="44" spans="1:32" x14ac:dyDescent="0.2">
      <c r="A44" s="52"/>
      <c r="B44" s="35"/>
      <c r="C44" s="36"/>
      <c r="D44" s="36"/>
      <c r="E44" s="35"/>
      <c r="F44" s="37"/>
      <c r="G44" s="37"/>
      <c r="H44" s="134"/>
      <c r="J44" s="37"/>
      <c r="K44" s="32"/>
      <c r="M44" s="66"/>
      <c r="N44" s="63"/>
      <c r="O44" s="63"/>
      <c r="P44" s="32"/>
      <c r="Q44" s="32"/>
      <c r="R44" s="32"/>
      <c r="S44" s="32"/>
      <c r="T44" s="32"/>
      <c r="V44" s="119"/>
      <c r="X44" s="141"/>
      <c r="Z44" s="99"/>
      <c r="AA44" s="99"/>
    </row>
    <row r="45" spans="1:32" x14ac:dyDescent="0.2">
      <c r="A45" s="52"/>
      <c r="B45" s="35"/>
      <c r="C45" s="36"/>
      <c r="D45" s="36"/>
      <c r="E45" s="35"/>
      <c r="F45" s="37"/>
      <c r="G45" s="37"/>
      <c r="H45" s="134"/>
      <c r="J45" s="37"/>
      <c r="K45" s="32"/>
      <c r="M45" s="66"/>
      <c r="N45" s="63"/>
      <c r="O45" s="63"/>
      <c r="P45" s="32"/>
      <c r="Q45" s="32"/>
      <c r="R45" s="32"/>
      <c r="S45" s="32"/>
      <c r="T45" s="32"/>
      <c r="V45" s="119"/>
      <c r="X45" s="141"/>
      <c r="Z45" s="99"/>
      <c r="AA45" s="99"/>
    </row>
    <row r="46" spans="1:32" x14ac:dyDescent="0.2">
      <c r="A46" s="52"/>
      <c r="B46" s="35" t="s">
        <v>76</v>
      </c>
      <c r="C46" s="36"/>
      <c r="D46" s="36"/>
      <c r="E46" s="35"/>
      <c r="F46" s="37"/>
      <c r="G46" s="37"/>
      <c r="H46" s="134"/>
      <c r="J46" s="37"/>
      <c r="K46" s="32"/>
      <c r="M46" s="66"/>
      <c r="N46" s="63"/>
      <c r="O46" s="63"/>
      <c r="P46" s="32"/>
      <c r="Q46" s="32"/>
      <c r="R46" s="32"/>
      <c r="S46" s="32"/>
      <c r="T46" s="32"/>
      <c r="V46" s="119"/>
      <c r="X46" s="141"/>
      <c r="Z46" s="99"/>
      <c r="AA46" s="99"/>
    </row>
    <row r="47" spans="1:32" x14ac:dyDescent="0.2">
      <c r="A47" s="52">
        <v>2120</v>
      </c>
      <c r="B47" s="25" t="s">
        <v>77</v>
      </c>
      <c r="C47" s="26">
        <f t="shared" ref="C47:C49" si="41">X47</f>
        <v>100</v>
      </c>
      <c r="D47" s="33"/>
      <c r="E47" s="25"/>
      <c r="F47" s="26">
        <f t="shared" ref="F47:F49" si="42">K47</f>
        <v>100</v>
      </c>
      <c r="G47" s="26"/>
      <c r="H47" s="128"/>
      <c r="J47" s="26"/>
      <c r="K47" s="32">
        <f>VLOOKUP($A47,BS_History,K$6,FALSE)</f>
        <v>100</v>
      </c>
      <c r="M47" s="66">
        <v>1</v>
      </c>
      <c r="N47" s="12">
        <f>VLOOKUP($A47,TB_Period,$N$3,FALSE)</f>
        <v>1</v>
      </c>
      <c r="O47" s="60">
        <f t="shared" ref="O47:O49" si="43">M47-N47</f>
        <v>0</v>
      </c>
      <c r="P47" s="65">
        <f>VLOOKUP($A47,TB_Period,2,FALSE)</f>
        <v>100</v>
      </c>
      <c r="Q47" s="129">
        <f t="shared" ref="Q47:Q49" si="44">P47*$M47</f>
        <v>100</v>
      </c>
      <c r="R47" s="65">
        <f>VLOOKUP($A47,TB_Period,4,FALSE)</f>
        <v>0</v>
      </c>
      <c r="S47" s="65">
        <f t="shared" ref="S47:S49" si="45">R47*$M47</f>
        <v>0</v>
      </c>
      <c r="T47" s="32">
        <f>VLOOKUP($A47,BS_History,BS_OM_COL,FALSE)</f>
        <v>100</v>
      </c>
      <c r="U47" s="99">
        <f t="shared" ref="U47:U49" si="46">S47+T47-Q47</f>
        <v>0</v>
      </c>
      <c r="V47" s="138">
        <f t="shared" ref="V47" si="47">S47+Q47</f>
        <v>100</v>
      </c>
      <c r="X47" s="141">
        <f>IF(OpeningTBType="YTD",U47,IF(OpeningTBType="EOY",V47,"Unknown Opening period type"))</f>
        <v>100</v>
      </c>
      <c r="Z47" s="99">
        <f>C47*N47</f>
        <v>100</v>
      </c>
      <c r="AA47" s="99">
        <f t="shared" ref="AA47:AA49" si="48">T47*N47</f>
        <v>100</v>
      </c>
      <c r="AC47" s="65">
        <f>VLOOKUP($A47,TB_Period,2,FALSE)</f>
        <v>100</v>
      </c>
      <c r="AD47" s="65">
        <f>VLOOKUP($A47,TB_Period,4,FALSE)</f>
        <v>0</v>
      </c>
      <c r="AE47" s="99">
        <f t="shared" ref="AE47:AE49" si="49">AD47-AC47</f>
        <v>-100</v>
      </c>
      <c r="AF47" s="99">
        <f t="shared" ref="AF47:AF49" si="50">AE47+Z47</f>
        <v>0</v>
      </c>
    </row>
    <row r="48" spans="1:32" x14ac:dyDescent="0.2">
      <c r="A48" s="52">
        <v>2125</v>
      </c>
      <c r="B48" s="25" t="s">
        <v>78</v>
      </c>
      <c r="C48" s="26">
        <f t="shared" si="41"/>
        <v>558690.80000000005</v>
      </c>
      <c r="D48" s="33"/>
      <c r="E48" s="25"/>
      <c r="F48" s="26">
        <f t="shared" si="42"/>
        <v>509969.50000000006</v>
      </c>
      <c r="G48" s="26"/>
      <c r="H48" s="128"/>
      <c r="J48" s="26"/>
      <c r="K48" s="32">
        <f>VLOOKUP($A48,BS_History,K$6,FALSE)</f>
        <v>509969.50000000006</v>
      </c>
      <c r="M48" s="66">
        <v>1</v>
      </c>
      <c r="N48" s="12">
        <f>VLOOKUP($A48,TB_Period,$N$3,FALSE)</f>
        <v>1</v>
      </c>
      <c r="O48" s="60">
        <f t="shared" si="43"/>
        <v>0</v>
      </c>
      <c r="P48" s="65">
        <f>VLOOKUP($A48,TB_Period,2,FALSE)</f>
        <v>0</v>
      </c>
      <c r="Q48" s="129">
        <f t="shared" si="44"/>
        <v>0</v>
      </c>
      <c r="R48" s="65">
        <f>VLOOKUP($A48,TB_Period,4,FALSE)</f>
        <v>0</v>
      </c>
      <c r="S48" s="65">
        <f t="shared" si="45"/>
        <v>0</v>
      </c>
      <c r="T48" s="32">
        <f>VLOOKUP($A48,BS_History,BS_OM_COL,FALSE)</f>
        <v>509969.50000000006</v>
      </c>
      <c r="U48" s="99">
        <f t="shared" si="46"/>
        <v>509969.50000000006</v>
      </c>
      <c r="V48" s="138">
        <f>S48+Q48+Q49</f>
        <v>558690.80000000005</v>
      </c>
      <c r="X48" s="141">
        <f>IF(OpeningTBType="YTD",U48,IF(OpeningTBType="EOY",V48,"Unknown Opening period type"))</f>
        <v>558690.80000000005</v>
      </c>
      <c r="Z48" s="99">
        <f>C48*N48</f>
        <v>558690.80000000005</v>
      </c>
      <c r="AA48" s="99">
        <f t="shared" si="48"/>
        <v>509969.50000000006</v>
      </c>
      <c r="AC48" s="65">
        <f>VLOOKUP($A48,TB_Period,2,FALSE)</f>
        <v>0</v>
      </c>
      <c r="AD48" s="65">
        <f>VLOOKUP($A48,TB_Period,4,FALSE)</f>
        <v>0</v>
      </c>
      <c r="AE48" s="99">
        <f t="shared" si="49"/>
        <v>0</v>
      </c>
      <c r="AF48" s="99">
        <f t="shared" si="50"/>
        <v>558690.80000000005</v>
      </c>
    </row>
    <row r="49" spans="1:32" x14ac:dyDescent="0.2">
      <c r="A49" s="52">
        <v>2126</v>
      </c>
      <c r="B49" s="25" t="s">
        <v>79</v>
      </c>
      <c r="C49" s="26">
        <f t="shared" si="41"/>
        <v>-8574.4700000002049</v>
      </c>
      <c r="D49" s="33"/>
      <c r="E49" s="25"/>
      <c r="F49" s="26">
        <f t="shared" si="42"/>
        <v>48096.910000000149</v>
      </c>
      <c r="G49" s="26"/>
      <c r="H49" s="128"/>
      <c r="J49" s="26"/>
      <c r="K49" s="32">
        <f>VLOOKUP($A49,BS_History,K$6,FALSE)</f>
        <v>48096.910000000149</v>
      </c>
      <c r="M49" s="66">
        <v>1</v>
      </c>
      <c r="N49" s="12">
        <f>VLOOKUP($A49,TB_Period,$N$3,FALSE)</f>
        <v>1</v>
      </c>
      <c r="O49" s="60">
        <f t="shared" si="43"/>
        <v>0</v>
      </c>
      <c r="P49" s="65">
        <f>VLOOKUP($A49,TB_Period,2,FALSE)</f>
        <v>558690.80000000005</v>
      </c>
      <c r="Q49" s="129">
        <f t="shared" si="44"/>
        <v>558690.80000000005</v>
      </c>
      <c r="R49" s="65">
        <f>VLOOKUP($A49,TB_Period,4,FALSE)+PnL_TD</f>
        <v>-8574.4700000002049</v>
      </c>
      <c r="S49" s="65">
        <f t="shared" si="45"/>
        <v>-8574.4700000002049</v>
      </c>
      <c r="T49" s="32">
        <f>VLOOKUP($A49,BS_History,BS_OM_COL,FALSE)</f>
        <v>48096.910000000149</v>
      </c>
      <c r="U49" s="99">
        <f t="shared" si="46"/>
        <v>-519168.3600000001</v>
      </c>
      <c r="V49" s="138">
        <f>S49</f>
        <v>-8574.4700000002049</v>
      </c>
      <c r="X49" s="141">
        <f>IF(OpeningTBType="YTD",U49,IF(OpeningTBType="EOY",V49,"Unknown Opening period type"))</f>
        <v>-8574.4700000002049</v>
      </c>
      <c r="Z49" s="99">
        <f>C49*N49</f>
        <v>-8574.4700000002049</v>
      </c>
      <c r="AA49" s="99">
        <f t="shared" si="48"/>
        <v>48096.910000000149</v>
      </c>
      <c r="AC49" s="65">
        <f>VLOOKUP($A49,TB_Period,2,FALSE)</f>
        <v>558690.80000000005</v>
      </c>
      <c r="AD49" s="65">
        <f>VLOOKUP($A49,TB_Period,4,FALSE)</f>
        <v>0</v>
      </c>
      <c r="AE49" s="99">
        <f t="shared" si="49"/>
        <v>-558690.80000000005</v>
      </c>
      <c r="AF49" s="99">
        <f t="shared" si="50"/>
        <v>-567265.27000000025</v>
      </c>
    </row>
    <row r="50" spans="1:32" x14ac:dyDescent="0.2">
      <c r="A50" s="52"/>
      <c r="B50" s="25"/>
      <c r="C50" s="33"/>
      <c r="D50" s="33"/>
      <c r="E50" s="25"/>
      <c r="F50" s="26"/>
      <c r="G50" s="26"/>
      <c r="H50" s="128"/>
      <c r="I50" s="26"/>
      <c r="J50" s="26"/>
      <c r="X50" s="141"/>
      <c r="Z50" s="99"/>
      <c r="AA50" s="99"/>
    </row>
    <row r="51" spans="1:32" x14ac:dyDescent="0.2">
      <c r="A51" s="34"/>
      <c r="B51" s="35" t="s">
        <v>80</v>
      </c>
      <c r="C51" s="36"/>
      <c r="D51" s="71">
        <f>SUM(C47:C49)</f>
        <v>550216.32999999984</v>
      </c>
      <c r="E51" s="35"/>
      <c r="F51" s="37"/>
      <c r="G51" s="37">
        <f>SUM(F47:F49)</f>
        <v>558166.41000000015</v>
      </c>
      <c r="H51" s="134"/>
      <c r="I51" s="37"/>
      <c r="J51" s="37"/>
      <c r="X51" s="141"/>
    </row>
    <row r="52" spans="1:32" x14ac:dyDescent="0.2">
      <c r="A52" s="52"/>
      <c r="B52" s="25"/>
      <c r="C52" s="33"/>
      <c r="D52" s="33"/>
      <c r="E52" s="25"/>
      <c r="F52" s="25"/>
      <c r="G52" s="25"/>
      <c r="H52" s="120"/>
      <c r="I52" s="25"/>
      <c r="J52" s="25"/>
      <c r="X52" s="141"/>
    </row>
    <row r="53" spans="1:32" x14ac:dyDescent="0.2">
      <c r="B53" s="5" t="s">
        <v>155</v>
      </c>
      <c r="C53" s="38"/>
      <c r="D53" s="38"/>
      <c r="H53" s="119"/>
      <c r="X53" s="141"/>
    </row>
    <row r="54" spans="1:32" x14ac:dyDescent="0.2">
      <c r="C54" s="38"/>
      <c r="D54" s="38"/>
      <c r="H54" s="119"/>
    </row>
    <row r="55" spans="1:32" x14ac:dyDescent="0.2">
      <c r="C55" s="38"/>
      <c r="D55" s="38"/>
      <c r="H55" s="119"/>
    </row>
    <row r="56" spans="1:32" x14ac:dyDescent="0.2">
      <c r="H56" s="119"/>
    </row>
    <row r="57" spans="1:32" x14ac:dyDescent="0.2">
      <c r="B57" s="39"/>
      <c r="C57" s="39"/>
      <c r="D57" s="39"/>
      <c r="E57" s="39"/>
      <c r="F57" s="39"/>
      <c r="G57" s="39"/>
      <c r="H57" s="135"/>
      <c r="I57" s="39"/>
      <c r="J57" s="39"/>
    </row>
    <row r="58" spans="1:32" x14ac:dyDescent="0.2">
      <c r="H58" s="119"/>
    </row>
    <row r="59" spans="1:32" x14ac:dyDescent="0.2">
      <c r="H59" s="119"/>
    </row>
    <row r="60" spans="1:32" x14ac:dyDescent="0.2">
      <c r="H60" s="119"/>
    </row>
    <row r="61" spans="1:32" x14ac:dyDescent="0.2">
      <c r="H61" s="119"/>
    </row>
    <row r="62" spans="1:32" x14ac:dyDescent="0.2">
      <c r="H62" s="119"/>
    </row>
    <row r="63" spans="1:32" x14ac:dyDescent="0.2">
      <c r="H63" s="119"/>
    </row>
    <row r="64" spans="1:32" x14ac:dyDescent="0.2">
      <c r="H64" s="119"/>
    </row>
    <row r="65" spans="1:8" x14ac:dyDescent="0.2">
      <c r="H65" s="119"/>
    </row>
    <row r="66" spans="1:8" x14ac:dyDescent="0.2">
      <c r="H66" s="119"/>
    </row>
    <row r="67" spans="1:8" x14ac:dyDescent="0.2">
      <c r="H67" s="119"/>
    </row>
    <row r="68" spans="1:8" x14ac:dyDescent="0.2">
      <c r="H68" s="119"/>
    </row>
    <row r="69" spans="1:8" x14ac:dyDescent="0.2">
      <c r="H69" s="119"/>
    </row>
    <row r="70" spans="1:8" x14ac:dyDescent="0.2">
      <c r="H70" s="119"/>
    </row>
    <row r="71" spans="1:8" x14ac:dyDescent="0.2">
      <c r="H71" s="119"/>
    </row>
    <row r="72" spans="1:8" x14ac:dyDescent="0.2">
      <c r="H72" s="119"/>
    </row>
    <row r="73" spans="1:8" x14ac:dyDescent="0.2">
      <c r="H73" s="119"/>
    </row>
    <row r="74" spans="1:8" x14ac:dyDescent="0.2">
      <c r="H74" s="119"/>
    </row>
    <row r="75" spans="1:8" x14ac:dyDescent="0.2">
      <c r="A75" s="119"/>
      <c r="B75" s="119"/>
      <c r="C75" s="119"/>
      <c r="D75" s="119"/>
      <c r="E75" s="119"/>
      <c r="F75" s="119"/>
      <c r="G75" s="119"/>
      <c r="H75" s="119"/>
    </row>
    <row r="76" spans="1:8" x14ac:dyDescent="0.2">
      <c r="A76" s="119"/>
      <c r="B76" s="119"/>
      <c r="C76" s="119"/>
      <c r="D76" s="119"/>
      <c r="E76" s="119"/>
      <c r="F76" s="119"/>
      <c r="G76" s="119"/>
      <c r="H76" s="119"/>
    </row>
    <row r="77" spans="1:8" x14ac:dyDescent="0.2">
      <c r="A77" s="119"/>
      <c r="B77" s="119"/>
      <c r="C77" s="119"/>
      <c r="D77" s="119"/>
      <c r="E77" s="119"/>
      <c r="F77" s="119"/>
      <c r="G77" s="119"/>
      <c r="H77" s="119"/>
    </row>
    <row r="78" spans="1:8" x14ac:dyDescent="0.2">
      <c r="A78" s="119"/>
      <c r="B78" s="119"/>
      <c r="C78" s="119"/>
      <c r="D78" s="119"/>
      <c r="E78" s="119"/>
      <c r="F78" s="119"/>
      <c r="G78" s="119"/>
      <c r="H78" s="119"/>
    </row>
    <row r="79" spans="1:8" x14ac:dyDescent="0.2">
      <c r="A79" s="119"/>
      <c r="B79" s="119"/>
      <c r="C79" s="119"/>
      <c r="D79" s="119"/>
      <c r="E79" s="119"/>
      <c r="F79" s="119"/>
      <c r="G79" s="119"/>
      <c r="H79" s="119"/>
    </row>
  </sheetData>
  <mergeCells count="2">
    <mergeCell ref="C8:D8"/>
    <mergeCell ref="F8:G8"/>
  </mergeCells>
  <conditionalFormatting sqref="D6">
    <cfRule type="cellIs" dxfId="29" priority="47" operator="notBetween">
      <formula>-1</formula>
      <formula>1</formula>
    </cfRule>
    <cfRule type="cellIs" dxfId="28" priority="48" operator="between">
      <formula>-1</formula>
      <formula>1</formula>
    </cfRule>
  </conditionalFormatting>
  <conditionalFormatting sqref="G6">
    <cfRule type="cellIs" dxfId="27" priority="41" operator="notBetween">
      <formula>-1</formula>
      <formula>1</formula>
    </cfRule>
    <cfRule type="cellIs" dxfId="26" priority="42" operator="between">
      <formula>-1</formula>
      <formula>1</formula>
    </cfRule>
  </conditionalFormatting>
  <conditionalFormatting sqref="O11">
    <cfRule type="cellIs" dxfId="25" priority="35" operator="notBetween">
      <formula>-0.005</formula>
      <formula>0.005</formula>
    </cfRule>
    <cfRule type="cellIs" dxfId="24" priority="36" operator="between">
      <formula>-0.005</formula>
      <formula>0.005</formula>
    </cfRule>
  </conditionalFormatting>
  <conditionalFormatting sqref="O14:O24">
    <cfRule type="cellIs" dxfId="23" priority="33" operator="notBetween">
      <formula>-0.005</formula>
      <formula>0.005</formula>
    </cfRule>
    <cfRule type="cellIs" dxfId="22" priority="34" operator="between">
      <formula>-0.005</formula>
      <formula>0.005</formula>
    </cfRule>
  </conditionalFormatting>
  <conditionalFormatting sqref="O28:O32">
    <cfRule type="cellIs" dxfId="21" priority="31" operator="notBetween">
      <formula>-0.005</formula>
      <formula>0.005</formula>
    </cfRule>
    <cfRule type="cellIs" dxfId="20" priority="32" operator="between">
      <formula>-0.005</formula>
      <formula>0.005</formula>
    </cfRule>
  </conditionalFormatting>
  <conditionalFormatting sqref="O39">
    <cfRule type="cellIs" dxfId="19" priority="29" operator="notBetween">
      <formula>-0.005</formula>
      <formula>0.005</formula>
    </cfRule>
    <cfRule type="cellIs" dxfId="18" priority="30" operator="between">
      <formula>-0.005</formula>
      <formula>0.005</formula>
    </cfRule>
  </conditionalFormatting>
  <conditionalFormatting sqref="O47:O49">
    <cfRule type="cellIs" dxfId="17" priority="27" operator="notBetween">
      <formula>-0.005</formula>
      <formula>0.005</formula>
    </cfRule>
    <cfRule type="cellIs" dxfId="16" priority="28" operator="between">
      <formula>-0.005</formula>
      <formula>0.005</formula>
    </cfRule>
  </conditionalFormatting>
  <conditionalFormatting sqref="O33">
    <cfRule type="cellIs" dxfId="15" priority="25" operator="notBetween">
      <formula>-0.005</formula>
      <formula>0.005</formula>
    </cfRule>
    <cfRule type="cellIs" dxfId="14" priority="26" operator="between">
      <formula>-0.005</formula>
      <formula>0.005</formula>
    </cfRule>
  </conditionalFormatting>
  <conditionalFormatting sqref="Z10">
    <cfRule type="cellIs" dxfId="13" priority="17" operator="notBetween">
      <formula>-0.005</formula>
      <formula>0.005</formula>
    </cfRule>
    <cfRule type="cellIs" dxfId="12" priority="18" operator="between">
      <formula>-0.005</formula>
      <formula>0.005</formula>
    </cfRule>
  </conditionalFormatting>
  <conditionalFormatting sqref="AC10">
    <cfRule type="cellIs" dxfId="11" priority="15" operator="notBetween">
      <formula>-0.005</formula>
      <formula>0.005</formula>
    </cfRule>
    <cfRule type="cellIs" dxfId="10" priority="16" operator="between">
      <formula>-0.005</formula>
      <formula>0.005</formula>
    </cfRule>
  </conditionalFormatting>
  <conditionalFormatting sqref="AA10">
    <cfRule type="cellIs" dxfId="9" priority="9" operator="notBetween">
      <formula>-0.005</formula>
      <formula>0.005</formula>
    </cfRule>
    <cfRule type="cellIs" dxfId="8" priority="10" operator="between">
      <formula>-0.005</formula>
      <formula>0.005</formula>
    </cfRule>
  </conditionalFormatting>
  <conditionalFormatting sqref="P10">
    <cfRule type="cellIs" dxfId="7" priority="7" operator="notBetween">
      <formula>-0.005</formula>
      <formula>0.005</formula>
    </cfRule>
    <cfRule type="cellIs" dxfId="6" priority="8" operator="between">
      <formula>-0.005</formula>
      <formula>0.005</formula>
    </cfRule>
  </conditionalFormatting>
  <conditionalFormatting sqref="R10">
    <cfRule type="cellIs" dxfId="5" priority="5" operator="notBetween">
      <formula>-0.005</formula>
      <formula>0.005</formula>
    </cfRule>
    <cfRule type="cellIs" dxfId="4" priority="6" operator="between">
      <formula>-0.005</formula>
      <formula>0.005</formula>
    </cfRule>
  </conditionalFormatting>
  <conditionalFormatting sqref="AD10">
    <cfRule type="cellIs" dxfId="3" priority="3" operator="notBetween">
      <formula>-0.005</formula>
      <formula>0.005</formula>
    </cfRule>
    <cfRule type="cellIs" dxfId="2" priority="4" operator="between">
      <formula>-0.005</formula>
      <formula>0.005</formula>
    </cfRule>
  </conditionalFormatting>
  <conditionalFormatting sqref="AE10">
    <cfRule type="cellIs" dxfId="1" priority="1" operator="notBetween">
      <formula>-0.005</formula>
      <formula>0.005</formula>
    </cfRule>
    <cfRule type="cellIs" dxfId="0" priority="2" operator="between">
      <formula>-0.005</formula>
      <formula>0.005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84" orientation="portrait" horizontalDpi="180" verticalDpi="180" r:id="rId1"/>
  <headerFooter alignWithMargins="0">
    <oddHeader>&amp;LSLUMBERFLEECE&amp;CBALANCE SHEET&amp;RFeb 16</oddHeader>
    <oddFooter>&amp;L&amp;F&amp;R&amp;D &amp;T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26"/>
  <sheetViews>
    <sheetView workbookViewId="0">
      <selection activeCell="F3" sqref="F3:F26"/>
    </sheetView>
  </sheetViews>
  <sheetFormatPr defaultRowHeight="15" x14ac:dyDescent="0.25"/>
  <sheetData>
    <row r="3" spans="2:6" x14ac:dyDescent="0.25">
      <c r="B3" s="40" t="s">
        <v>81</v>
      </c>
      <c r="D3" t="s">
        <v>442</v>
      </c>
      <c r="F3" s="46" t="str">
        <f>'RPT MGT BS'!C8</f>
        <v>Jan 16</v>
      </c>
    </row>
    <row r="4" spans="2:6" x14ac:dyDescent="0.25">
      <c r="B4" s="40"/>
      <c r="F4" s="46" t="str">
        <f t="shared" ref="F4" si="0">"BS-"&amp;UPPER(TEXT(F3,"mmm-yy"))</f>
        <v>BS-JAN-16</v>
      </c>
    </row>
    <row r="5" spans="2:6" x14ac:dyDescent="0.25">
      <c r="B5" s="49">
        <v>10</v>
      </c>
      <c r="D5" s="79">
        <f>MATCH(B5,'RPT MGT BS'!$A$11:$A$49,0)</f>
        <v>1</v>
      </c>
      <c r="F5" s="145">
        <f ca="1">OFFSET('RPT MGT BS'!$V$11,D5-1,0)</f>
        <v>10613.540000000005</v>
      </c>
    </row>
    <row r="6" spans="2:6" x14ac:dyDescent="0.25">
      <c r="B6" s="49">
        <v>1001</v>
      </c>
      <c r="D6" s="79">
        <f>MATCH(B6,'RPT MGT BS'!$A$11:$A$49,0)</f>
        <v>4</v>
      </c>
      <c r="F6" s="145">
        <f ca="1">OFFSET('RPT MGT BS'!$V$11,D6-1,0)</f>
        <v>264446.98</v>
      </c>
    </row>
    <row r="7" spans="2:6" x14ac:dyDescent="0.25">
      <c r="B7" s="49">
        <v>1100</v>
      </c>
      <c r="D7" s="79">
        <f>MATCH(B7,'RPT MGT BS'!$A$11:$A$49,0)</f>
        <v>5</v>
      </c>
      <c r="F7" s="145">
        <f ca="1">OFFSET('RPT MGT BS'!$V$11,D7-1,0)</f>
        <v>198455.58000000002</v>
      </c>
    </row>
    <row r="8" spans="2:6" x14ac:dyDescent="0.25">
      <c r="B8" s="49">
        <v>1102</v>
      </c>
      <c r="D8" s="79">
        <f>MATCH(B8,'RPT MGT BS'!$A$11:$A$49,0)</f>
        <v>6</v>
      </c>
      <c r="F8" s="145">
        <f ca="1">OFFSET('RPT MGT BS'!$V$11,D8-1,0)</f>
        <v>0</v>
      </c>
    </row>
    <row r="9" spans="2:6" x14ac:dyDescent="0.25">
      <c r="B9" s="49">
        <v>1103</v>
      </c>
      <c r="D9" s="79">
        <f>MATCH(B9,'RPT MGT BS'!$A$11:$A$49,0)</f>
        <v>8</v>
      </c>
      <c r="F9" s="145">
        <f ca="1">OFFSET('RPT MGT BS'!$V$11,D9-1,0)</f>
        <v>31566.000000000004</v>
      </c>
    </row>
    <row r="10" spans="2:6" x14ac:dyDescent="0.25">
      <c r="B10" s="49">
        <v>1115</v>
      </c>
      <c r="D10" s="79">
        <f>MATCH(B10,'RPT MGT BS'!$A$11:$A$49,0)</f>
        <v>7</v>
      </c>
      <c r="F10" s="145">
        <f ca="1">OFFSET('RPT MGT BS'!$V$11,D10-1,0)</f>
        <v>67841.16</v>
      </c>
    </row>
    <row r="11" spans="2:6" x14ac:dyDescent="0.25">
      <c r="B11" s="49">
        <v>1200</v>
      </c>
      <c r="D11" s="79">
        <f>MATCH(B11,'RPT MGT BS'!$A$11:$A$49,0)</f>
        <v>11</v>
      </c>
      <c r="F11" s="145">
        <f ca="1">OFFSET('RPT MGT BS'!$V$11,D11-1,0)</f>
        <v>207266.09</v>
      </c>
    </row>
    <row r="12" spans="2:6" x14ac:dyDescent="0.25">
      <c r="B12" s="49">
        <v>1202</v>
      </c>
      <c r="D12" s="79">
        <f>MATCH(B12,'RPT MGT BS'!$A$11:$A$49,0)</f>
        <v>12</v>
      </c>
      <c r="F12" s="145">
        <f ca="1">OFFSET('RPT MGT BS'!$V$11,D12-1,0)</f>
        <v>26173.439999999995</v>
      </c>
    </row>
    <row r="13" spans="2:6" x14ac:dyDescent="0.25">
      <c r="B13" s="49">
        <v>1203</v>
      </c>
      <c r="D13" s="79">
        <f>MATCH(B13,'RPT MGT BS'!$A$11:$A$49,0)</f>
        <v>13</v>
      </c>
      <c r="F13" s="145">
        <f ca="1">OFFSET('RPT MGT BS'!$V$11,D13-1,0)</f>
        <v>0</v>
      </c>
    </row>
    <row r="14" spans="2:6" x14ac:dyDescent="0.25">
      <c r="B14" s="49">
        <v>1204</v>
      </c>
      <c r="D14" s="79">
        <f>MATCH(B14,'RPT MGT BS'!$A$11:$A$49,0)</f>
        <v>14</v>
      </c>
      <c r="F14" s="145">
        <f ca="1">OFFSET('RPT MGT BS'!$V$11,D14-1,0)</f>
        <v>487.17</v>
      </c>
    </row>
    <row r="15" spans="2:6" x14ac:dyDescent="0.25">
      <c r="B15" s="49">
        <v>2100</v>
      </c>
      <c r="D15" s="79">
        <f>MATCH(B15,'RPT MGT BS'!$A$11:$A$49,0)</f>
        <v>18</v>
      </c>
      <c r="F15" s="145">
        <f ca="1">OFFSET('RPT MGT BS'!$V$11,D15-1,0)</f>
        <v>12872.210000000006</v>
      </c>
    </row>
    <row r="16" spans="2:6" x14ac:dyDescent="0.25">
      <c r="B16" s="49">
        <v>2103</v>
      </c>
      <c r="D16" s="79">
        <f>MATCH(B16,'RPT MGT BS'!$A$11:$A$49,0)</f>
        <v>29</v>
      </c>
      <c r="F16" s="145">
        <f ca="1">OFFSET('RPT MGT BS'!$V$11,D16-1,0)</f>
        <v>231405.93</v>
      </c>
    </row>
    <row r="17" spans="2:6" x14ac:dyDescent="0.25">
      <c r="B17" s="49">
        <v>2104</v>
      </c>
      <c r="D17" s="79">
        <f>MATCH(B17,'RPT MGT BS'!$A$11:$A$49,0)</f>
        <v>10</v>
      </c>
      <c r="F17" s="145">
        <f ca="1">OFFSET('RPT MGT BS'!$V$11,D17-1,0)</f>
        <v>26017.939999999995</v>
      </c>
    </row>
    <row r="18" spans="2:6" x14ac:dyDescent="0.25">
      <c r="B18" s="49">
        <v>2105</v>
      </c>
      <c r="D18" s="79">
        <f>MATCH(B18,'RPT MGT BS'!$A$11:$A$49,0)</f>
        <v>9</v>
      </c>
      <c r="F18" s="145">
        <f ca="1">OFFSET('RPT MGT BS'!$V$11,D18-1,0)</f>
        <v>0</v>
      </c>
    </row>
    <row r="19" spans="2:6" x14ac:dyDescent="0.25">
      <c r="B19" s="49">
        <v>2106</v>
      </c>
      <c r="D19" s="79">
        <f>MATCH(B19,'RPT MGT BS'!$A$11:$A$49,0)</f>
        <v>19</v>
      </c>
      <c r="F19" s="145">
        <f ca="1">OFFSET('RPT MGT BS'!$V$11,D19-1,0)</f>
        <v>8563.3799999999992</v>
      </c>
    </row>
    <row r="20" spans="2:6" x14ac:dyDescent="0.25">
      <c r="B20" s="49">
        <v>2107</v>
      </c>
      <c r="D20" s="79">
        <f>MATCH(B20,'RPT MGT BS'!$A$11:$A$49,0)</f>
        <v>20</v>
      </c>
      <c r="F20" s="145">
        <f ca="1">OFFSET('RPT MGT BS'!$V$11,D20-1,0)</f>
        <v>3360.91</v>
      </c>
    </row>
    <row r="21" spans="2:6" x14ac:dyDescent="0.25">
      <c r="B21" s="49">
        <v>2108</v>
      </c>
      <c r="D21" s="79">
        <f>MATCH(B21,'RPT MGT BS'!$A$11:$A$49,0)</f>
        <v>21</v>
      </c>
      <c r="F21" s="145">
        <f ca="1">OFFSET('RPT MGT BS'!$V$11,D21-1,0)</f>
        <v>40982.979999999967</v>
      </c>
    </row>
    <row r="22" spans="2:6" x14ac:dyDescent="0.25">
      <c r="B22" s="49">
        <v>2109</v>
      </c>
      <c r="D22" s="79">
        <f>MATCH(B22,'RPT MGT BS'!$A$11:$A$49,0)</f>
        <v>22</v>
      </c>
      <c r="F22" s="145">
        <f ca="1">OFFSET('RPT MGT BS'!$V$11,D22-1,0)</f>
        <v>-14533.84</v>
      </c>
    </row>
    <row r="23" spans="2:6" x14ac:dyDescent="0.25">
      <c r="B23" s="49">
        <v>2110</v>
      </c>
      <c r="D23" s="79">
        <f>MATCH(B23,'RPT MGT BS'!$A$11:$A$49,0)</f>
        <v>23</v>
      </c>
      <c r="F23" s="145">
        <f ca="1">OFFSET('RPT MGT BS'!$V$11,D23-1,0)</f>
        <v>0</v>
      </c>
    </row>
    <row r="24" spans="2:6" x14ac:dyDescent="0.25">
      <c r="B24" s="49">
        <v>2120</v>
      </c>
      <c r="D24" s="79">
        <f>MATCH(B24,'RPT MGT BS'!$A$11:$A$49,0)</f>
        <v>37</v>
      </c>
      <c r="F24" s="145">
        <f ca="1">OFFSET('RPT MGT BS'!$V$11,D24-1,0)</f>
        <v>100</v>
      </c>
    </row>
    <row r="25" spans="2:6" x14ac:dyDescent="0.25">
      <c r="B25" s="49">
        <v>2125</v>
      </c>
      <c r="D25" s="79">
        <f>MATCH(B25,'RPT MGT BS'!$A$11:$A$49,0)</f>
        <v>38</v>
      </c>
      <c r="F25" s="145">
        <f ca="1">OFFSET('RPT MGT BS'!$V$11,D25-1,0)</f>
        <v>558690.80000000005</v>
      </c>
    </row>
    <row r="26" spans="2:6" x14ac:dyDescent="0.25">
      <c r="B26" s="49">
        <v>2126</v>
      </c>
      <c r="D26" s="79">
        <f>MATCH(B26,'RPT MGT BS'!$A$11:$A$49,0)</f>
        <v>39</v>
      </c>
      <c r="F26" s="145">
        <f ca="1">OFFSET('RPT MGT BS'!$V$11,D26-1,0)</f>
        <v>-8574.4700000002049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37</vt:i4>
      </vt:variant>
    </vt:vector>
  </HeadingPairs>
  <TitlesOfParts>
    <vt:vector size="51" baseType="lpstr">
      <vt:lpstr>RPT-CTRL</vt:lpstr>
      <vt:lpstr>TB Data 14-15</vt:lpstr>
      <vt:lpstr>TB Data 15-16</vt:lpstr>
      <vt:lpstr>TB Data 16-17</vt:lpstr>
      <vt:lpstr>TB Data Special</vt:lpstr>
      <vt:lpstr>TB Data</vt:lpstr>
      <vt:lpstr>TX-MIS</vt:lpstr>
      <vt:lpstr>TB Period</vt:lpstr>
      <vt:lpstr>MTD</vt:lpstr>
      <vt:lpstr>RPT MGT PnL</vt:lpstr>
      <vt:lpstr>MTD fut</vt:lpstr>
      <vt:lpstr>BS</vt:lpstr>
      <vt:lpstr>RPT MGT BS</vt:lpstr>
      <vt:lpstr>BS Fut</vt:lpstr>
      <vt:lpstr>BS_History</vt:lpstr>
      <vt:lpstr>BS_OM</vt:lpstr>
      <vt:lpstr>BS_OM_COL</vt:lpstr>
      <vt:lpstr>BS_PM</vt:lpstr>
      <vt:lpstr>BS_PM_COL</vt:lpstr>
      <vt:lpstr>BS_PY</vt:lpstr>
      <vt:lpstr>BS_PY_COL</vt:lpstr>
      <vt:lpstr>MTD</vt:lpstr>
      <vt:lpstr>OpeningPeriodName</vt:lpstr>
      <vt:lpstr>OpeningTBType</vt:lpstr>
      <vt:lpstr>PLTD_MTD</vt:lpstr>
      <vt:lpstr>PLTD_OMYTD</vt:lpstr>
      <vt:lpstr>PLTD_PYPMTD</vt:lpstr>
      <vt:lpstr>PLTD_PYTD</vt:lpstr>
      <vt:lpstr>PLTD_PYYTD</vt:lpstr>
      <vt:lpstr>PLTD_YTD</vt:lpstr>
      <vt:lpstr>PnL_Opening</vt:lpstr>
      <vt:lpstr>PnL_OTD</vt:lpstr>
      <vt:lpstr>PnL_TD</vt:lpstr>
      <vt:lpstr>PnLOpeningToDate</vt:lpstr>
      <vt:lpstr>Prev_Month_Table</vt:lpstr>
      <vt:lpstr>PrevYear</vt:lpstr>
      <vt:lpstr>PrevYTDCol</vt:lpstr>
      <vt:lpstr>'RPT MGT BS'!Print_Area</vt:lpstr>
      <vt:lpstr>'RPT MGT PnL'!Print_Area</vt:lpstr>
      <vt:lpstr>RepMonth</vt:lpstr>
      <vt:lpstr>Report_Month</vt:lpstr>
      <vt:lpstr>ReportDate</vt:lpstr>
      <vt:lpstr>RepYear</vt:lpstr>
      <vt:lpstr>SageTrialBalance</vt:lpstr>
      <vt:lpstr>TB_Matrix</vt:lpstr>
      <vt:lpstr>TB_Period</vt:lpstr>
      <vt:lpstr>test</vt:lpstr>
      <vt:lpstr>TTB_MTD_CUR</vt:lpstr>
      <vt:lpstr>TTB_TDD_OM</vt:lpstr>
      <vt:lpstr>TTB_YTD</vt:lpstr>
      <vt:lpstr>TTB_YTD_PM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PRS</dc:creator>
  <cp:lastModifiedBy>Humphrey Drummond</cp:lastModifiedBy>
  <cp:lastPrinted>2016-03-18T13:37:24Z</cp:lastPrinted>
  <dcterms:created xsi:type="dcterms:W3CDTF">2015-02-06T11:18:35Z</dcterms:created>
  <dcterms:modified xsi:type="dcterms:W3CDTF">2016-04-04T10:00:36Z</dcterms:modified>
</cp:coreProperties>
</file>